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lin94\Desktop\Work\"/>
    </mc:Choice>
  </mc:AlternateContent>
  <xr:revisionPtr revIDLastSave="0" documentId="13_ncr:1_{917AB665-8D3F-4D15-97F2-7BFBC229CF27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Overall analysis" sheetId="11" r:id="rId1"/>
    <sheet name="GLB reg" sheetId="13" r:id="rId2"/>
    <sheet name="SCM reg" sheetId="18" r:id="rId3"/>
    <sheet name="CPLD1 reg" sheetId="6" r:id="rId4"/>
    <sheet name="CPLD2 reg" sheetId="1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7" i="6" l="1"/>
  <c r="AP36" i="6"/>
  <c r="AP9" i="6"/>
  <c r="BY40" i="6"/>
  <c r="BY46" i="6" s="1"/>
  <c r="BY52" i="6"/>
  <c r="BY58" i="6" s="1"/>
  <c r="BL54" i="6"/>
  <c r="BL47" i="6"/>
  <c r="BL35" i="6"/>
  <c r="BL37" i="6" s="1"/>
  <c r="BL23" i="6"/>
  <c r="BL24" i="6" s="1"/>
  <c r="BL17" i="6"/>
  <c r="BL19" i="6" s="1"/>
  <c r="BL5" i="6"/>
  <c r="BL13" i="6" s="1"/>
  <c r="AX29" i="13"/>
  <c r="AX32" i="13"/>
  <c r="AX34" i="13" s="1"/>
  <c r="AN11" i="13"/>
  <c r="AN16" i="13" s="1"/>
  <c r="AN20" i="13"/>
  <c r="AN26" i="13" s="1"/>
  <c r="AN39" i="13"/>
  <c r="AN46" i="13" s="1"/>
  <c r="AX52" i="13"/>
  <c r="AX54" i="13"/>
  <c r="BY60" i="6" l="1"/>
  <c r="BY54" i="6"/>
  <c r="BY55" i="6"/>
  <c r="BY56" i="6"/>
  <c r="BY57" i="6"/>
  <c r="BY59" i="6"/>
  <c r="BY53" i="6"/>
  <c r="BY47" i="6"/>
  <c r="BY41" i="6"/>
  <c r="BY48" i="6"/>
  <c r="BY42" i="6"/>
  <c r="BY43" i="6"/>
  <c r="BY44" i="6"/>
  <c r="BY45" i="6"/>
  <c r="BL56" i="6"/>
  <c r="BL55" i="6"/>
  <c r="BL41" i="6"/>
  <c r="BL43" i="6"/>
  <c r="BL38" i="6"/>
  <c r="BL39" i="6"/>
  <c r="BL40" i="6"/>
  <c r="BL49" i="6"/>
  <c r="BL50" i="6"/>
  <c r="BL48" i="6"/>
  <c r="BL42" i="6"/>
  <c r="BL36" i="6"/>
  <c r="BL31" i="6"/>
  <c r="BL29" i="6"/>
  <c r="BL25" i="6"/>
  <c r="BL26" i="6"/>
  <c r="BL27" i="6"/>
  <c r="BL30" i="6"/>
  <c r="BL28" i="6"/>
  <c r="BL18" i="6"/>
  <c r="BL6" i="6"/>
  <c r="BL7" i="6"/>
  <c r="BL8" i="6"/>
  <c r="BL9" i="6"/>
  <c r="BL10" i="6"/>
  <c r="BL11" i="6"/>
  <c r="BL12" i="6"/>
  <c r="AN40" i="13"/>
  <c r="AN47" i="13"/>
  <c r="AN27" i="13"/>
  <c r="AN17" i="13"/>
  <c r="AX35" i="13"/>
  <c r="AX36" i="13"/>
  <c r="AN41" i="13"/>
  <c r="AN21" i="13"/>
  <c r="AN28" i="13"/>
  <c r="AN18" i="13"/>
  <c r="AX37" i="13"/>
  <c r="AN22" i="13"/>
  <c r="AN12" i="13"/>
  <c r="AN19" i="13"/>
  <c r="AX38" i="13"/>
  <c r="AN43" i="13"/>
  <c r="AN13" i="13"/>
  <c r="AX27" i="13"/>
  <c r="AX28" i="13"/>
  <c r="AX39" i="13"/>
  <c r="AN44" i="13"/>
  <c r="AN14" i="13"/>
  <c r="AX33" i="13"/>
  <c r="AX40" i="13"/>
  <c r="AN45" i="13"/>
  <c r="AN25" i="13"/>
  <c r="AN15" i="13"/>
  <c r="AN42" i="13"/>
  <c r="AN23" i="13"/>
  <c r="AN24" i="13"/>
  <c r="AX41" i="13"/>
  <c r="BD22" i="6"/>
  <c r="BD30" i="6" s="1"/>
  <c r="BD19" i="6"/>
  <c r="BD21" i="6" s="1"/>
  <c r="BE21" i="6" s="1"/>
  <c r="BC5" i="6"/>
  <c r="BC8" i="6" s="1"/>
  <c r="BD25" i="6" l="1"/>
  <c r="BD24" i="6"/>
  <c r="BD26" i="6"/>
  <c r="BD27" i="6"/>
  <c r="BD28" i="6"/>
  <c r="AX49" i="13"/>
  <c r="AX42" i="13"/>
  <c r="AX48" i="13"/>
  <c r="AX47" i="13"/>
  <c r="AX46" i="13"/>
  <c r="AX45" i="13"/>
  <c r="AX44" i="13"/>
  <c r="AX43" i="13"/>
  <c r="AX22" i="13"/>
  <c r="AX23" i="13"/>
  <c r="AX26" i="13"/>
  <c r="BC6" i="6"/>
  <c r="BD20" i="6"/>
  <c r="BE20" i="6" s="1"/>
  <c r="BC7" i="6"/>
  <c r="BD29" i="6"/>
  <c r="BD23" i="6"/>
  <c r="H36" i="11" l="1"/>
  <c r="H35" i="11"/>
  <c r="H32" i="11"/>
  <c r="H31" i="11"/>
  <c r="H30" i="11"/>
  <c r="H29" i="11"/>
  <c r="H28" i="11"/>
  <c r="H27" i="11"/>
  <c r="H26" i="11"/>
  <c r="H25" i="11"/>
  <c r="CC16" i="6"/>
  <c r="CC15" i="6"/>
  <c r="C35" i="11"/>
  <c r="C34" i="11"/>
  <c r="C33" i="11"/>
  <c r="C26" i="11"/>
  <c r="C24" i="11"/>
  <c r="C23" i="11"/>
  <c r="C22" i="11"/>
  <c r="C21" i="11"/>
  <c r="AW55" i="6"/>
  <c r="AW57" i="6" s="1"/>
  <c r="AW48" i="6"/>
  <c r="AW51" i="6" s="1"/>
  <c r="AX53" i="13"/>
  <c r="BS94" i="6"/>
  <c r="BS98" i="6" s="1"/>
  <c r="BS76" i="6"/>
  <c r="BS80" i="6" s="1"/>
  <c r="BS103" i="6"/>
  <c r="BS107" i="6" s="1"/>
  <c r="BS85" i="6"/>
  <c r="BS87" i="6" s="1"/>
  <c r="BS67" i="6"/>
  <c r="BS75" i="6" s="1"/>
  <c r="BS58" i="6"/>
  <c r="BS62" i="6" s="1"/>
  <c r="BS49" i="6"/>
  <c r="BS40" i="6"/>
  <c r="BC98" i="6"/>
  <c r="BC105" i="6" s="1"/>
  <c r="BC89" i="6"/>
  <c r="BC97" i="6" s="1"/>
  <c r="BC80" i="6"/>
  <c r="BC83" i="6" s="1"/>
  <c r="BC107" i="6"/>
  <c r="BC113" i="6" s="1"/>
  <c r="BC71" i="6"/>
  <c r="BC74" i="6" s="1"/>
  <c r="BC61" i="6"/>
  <c r="BC65" i="6" s="1"/>
  <c r="BC56" i="6"/>
  <c r="BC57" i="6" s="1"/>
  <c r="C48" i="11"/>
  <c r="C47" i="11"/>
  <c r="C46" i="11"/>
  <c r="BC50" i="6"/>
  <c r="BC51" i="6" s="1"/>
  <c r="BC41" i="6"/>
  <c r="BC36" i="6"/>
  <c r="BC37" i="6" s="1"/>
  <c r="C40" i="11"/>
  <c r="C29" i="11"/>
  <c r="C31" i="11"/>
  <c r="C30" i="11"/>
  <c r="C38" i="11"/>
  <c r="C37" i="11"/>
  <c r="C42" i="11"/>
  <c r="AH23" i="18"/>
  <c r="BM52" i="12"/>
  <c r="BM38" i="12"/>
  <c r="BM24" i="12"/>
  <c r="BM32" i="12" s="1"/>
  <c r="BM14" i="12"/>
  <c r="BM17" i="12"/>
  <c r="BM15" i="12"/>
  <c r="BM4" i="12"/>
  <c r="BM8" i="12"/>
  <c r="BC127" i="12"/>
  <c r="BC117" i="12"/>
  <c r="BC103" i="12"/>
  <c r="BC93" i="12"/>
  <c r="BC83" i="12"/>
  <c r="BC73" i="12"/>
  <c r="BC63" i="12"/>
  <c r="BC53" i="12"/>
  <c r="BC43" i="12"/>
  <c r="BC34" i="12"/>
  <c r="BC24" i="12"/>
  <c r="BC14" i="12"/>
  <c r="BM18" i="12" s="1"/>
  <c r="BC4" i="12"/>
  <c r="BM7" i="12" s="1"/>
  <c r="AW40" i="6"/>
  <c r="AW44" i="6" s="1"/>
  <c r="AW35" i="6"/>
  <c r="AW39" i="6" s="1"/>
  <c r="AW30" i="6"/>
  <c r="AW34" i="6" s="1"/>
  <c r="AW5" i="6"/>
  <c r="AW8" i="6" s="1"/>
  <c r="AW25" i="6"/>
  <c r="AW29" i="6" s="1"/>
  <c r="AW20" i="6"/>
  <c r="AW24" i="6" s="1"/>
  <c r="AW15" i="6"/>
  <c r="AW19" i="6" s="1"/>
  <c r="AW10" i="6"/>
  <c r="AW14" i="6" s="1"/>
  <c r="AN89" i="6"/>
  <c r="AN90" i="6"/>
  <c r="AN91" i="6"/>
  <c r="AN92" i="6"/>
  <c r="AN93" i="6"/>
  <c r="AN94" i="6"/>
  <c r="AN95" i="6"/>
  <c r="AN104" i="6"/>
  <c r="AN103" i="6"/>
  <c r="AN102" i="6"/>
  <c r="AN101" i="6"/>
  <c r="AN100" i="6"/>
  <c r="AN99" i="6"/>
  <c r="AN98" i="6"/>
  <c r="AN97" i="6"/>
  <c r="AN88" i="6"/>
  <c r="BY25" i="6"/>
  <c r="BY24" i="6"/>
  <c r="BY23" i="6"/>
  <c r="BY26" i="6"/>
  <c r="BY34" i="6"/>
  <c r="BY32" i="6"/>
  <c r="C27" i="11" s="1"/>
  <c r="BY30" i="6"/>
  <c r="BY22" i="6"/>
  <c r="BY16" i="6"/>
  <c r="BY11" i="6"/>
  <c r="BY12" i="6"/>
  <c r="BY13" i="6"/>
  <c r="BY15" i="6"/>
  <c r="BY14" i="6"/>
  <c r="CC12" i="6"/>
  <c r="CC11" i="6"/>
  <c r="CC10" i="6"/>
  <c r="CC9" i="6"/>
  <c r="CC8" i="6"/>
  <c r="CC7" i="6"/>
  <c r="CC6" i="6"/>
  <c r="CC5" i="6"/>
  <c r="AR27" i="6"/>
  <c r="AR25" i="6"/>
  <c r="AR20" i="6"/>
  <c r="AR19" i="6"/>
  <c r="BK126" i="18"/>
  <c r="BK127" i="18" s="1"/>
  <c r="AR15" i="6"/>
  <c r="AR13" i="6"/>
  <c r="AR10" i="6"/>
  <c r="AR9" i="6"/>
  <c r="AR8" i="6"/>
  <c r="AR7" i="6"/>
  <c r="AR6" i="6"/>
  <c r="BK112" i="18"/>
  <c r="BK98" i="18"/>
  <c r="BK84" i="18"/>
  <c r="BK74" i="18"/>
  <c r="BK76" i="18" s="1"/>
  <c r="BK60" i="18"/>
  <c r="BK46" i="18"/>
  <c r="BK32" i="18"/>
  <c r="BK18" i="18"/>
  <c r="BK4" i="18"/>
  <c r="BY6" i="6"/>
  <c r="BY8" i="6"/>
  <c r="BY5" i="6"/>
  <c r="BS31" i="6"/>
  <c r="BA125" i="18"/>
  <c r="BA111" i="18"/>
  <c r="BA97" i="18"/>
  <c r="BA83" i="18"/>
  <c r="BA69" i="18"/>
  <c r="BA55" i="18"/>
  <c r="BA43" i="18"/>
  <c r="BS23" i="6"/>
  <c r="BS14" i="6"/>
  <c r="BS5" i="6"/>
  <c r="AN5" i="6"/>
  <c r="BA30" i="18"/>
  <c r="B2" i="6"/>
  <c r="S2" i="6" s="1"/>
  <c r="AO5" i="6" s="1"/>
  <c r="B3" i="6"/>
  <c r="S3" i="6" s="1"/>
  <c r="AO63" i="6" s="1"/>
  <c r="BA4" i="18"/>
  <c r="BA10" i="18" s="1"/>
  <c r="BA17" i="18"/>
  <c r="Q17" i="18"/>
  <c r="AH17" i="18" s="1"/>
  <c r="P17" i="18"/>
  <c r="AG17" i="18" s="1"/>
  <c r="O17" i="18"/>
  <c r="AF17" i="18" s="1"/>
  <c r="N17" i="18"/>
  <c r="AE17" i="18" s="1"/>
  <c r="M17" i="18"/>
  <c r="AD17" i="18" s="1"/>
  <c r="L17" i="18"/>
  <c r="AC17" i="18" s="1"/>
  <c r="K17" i="18"/>
  <c r="AB17" i="18" s="1"/>
  <c r="J17" i="18"/>
  <c r="AA17" i="18" s="1"/>
  <c r="I17" i="18"/>
  <c r="Z17" i="18" s="1"/>
  <c r="H17" i="18"/>
  <c r="Y17" i="18" s="1"/>
  <c r="G17" i="18"/>
  <c r="X17" i="18" s="1"/>
  <c r="F17" i="18"/>
  <c r="W17" i="18" s="1"/>
  <c r="E17" i="18"/>
  <c r="V17" i="18" s="1"/>
  <c r="D17" i="18"/>
  <c r="U17" i="18" s="1"/>
  <c r="C17" i="18"/>
  <c r="T17" i="18" s="1"/>
  <c r="B17" i="18"/>
  <c r="S17" i="18" s="1"/>
  <c r="Q16" i="18"/>
  <c r="AH16" i="18" s="1"/>
  <c r="P16" i="18"/>
  <c r="AG16" i="18" s="1"/>
  <c r="O16" i="18"/>
  <c r="AF16" i="18" s="1"/>
  <c r="N16" i="18"/>
  <c r="AE16" i="18" s="1"/>
  <c r="M16" i="18"/>
  <c r="AD16" i="18" s="1"/>
  <c r="L16" i="18"/>
  <c r="AC16" i="18" s="1"/>
  <c r="K16" i="18"/>
  <c r="AB16" i="18" s="1"/>
  <c r="J16" i="18"/>
  <c r="AA16" i="18" s="1"/>
  <c r="I16" i="18"/>
  <c r="Z16" i="18" s="1"/>
  <c r="H16" i="18"/>
  <c r="Y16" i="18" s="1"/>
  <c r="G16" i="18"/>
  <c r="X16" i="18" s="1"/>
  <c r="F16" i="18"/>
  <c r="W16" i="18" s="1"/>
  <c r="E16" i="18"/>
  <c r="V16" i="18" s="1"/>
  <c r="D16" i="18"/>
  <c r="U16" i="18" s="1"/>
  <c r="C16" i="18"/>
  <c r="T16" i="18" s="1"/>
  <c r="B16" i="18"/>
  <c r="S16" i="18" s="1"/>
  <c r="Q15" i="18"/>
  <c r="AH15" i="18" s="1"/>
  <c r="P15" i="18"/>
  <c r="AG15" i="18" s="1"/>
  <c r="O15" i="18"/>
  <c r="AF15" i="18" s="1"/>
  <c r="N15" i="18"/>
  <c r="AE15" i="18" s="1"/>
  <c r="M15" i="18"/>
  <c r="AD15" i="18" s="1"/>
  <c r="L15" i="18"/>
  <c r="AC15" i="18" s="1"/>
  <c r="K15" i="18"/>
  <c r="AB15" i="18" s="1"/>
  <c r="J15" i="18"/>
  <c r="AA15" i="18" s="1"/>
  <c r="I15" i="18"/>
  <c r="Z15" i="18" s="1"/>
  <c r="H15" i="18"/>
  <c r="Y15" i="18" s="1"/>
  <c r="G15" i="18"/>
  <c r="X15" i="18" s="1"/>
  <c r="F15" i="18"/>
  <c r="W15" i="18" s="1"/>
  <c r="E15" i="18"/>
  <c r="V15" i="18" s="1"/>
  <c r="D15" i="18"/>
  <c r="U15" i="18" s="1"/>
  <c r="C15" i="18"/>
  <c r="T15" i="18" s="1"/>
  <c r="B15" i="18"/>
  <c r="S15" i="18" s="1"/>
  <c r="Q14" i="18"/>
  <c r="AH14" i="18" s="1"/>
  <c r="P14" i="18"/>
  <c r="AG14" i="18" s="1"/>
  <c r="O14" i="18"/>
  <c r="AF14" i="18" s="1"/>
  <c r="N14" i="18"/>
  <c r="AE14" i="18" s="1"/>
  <c r="M14" i="18"/>
  <c r="AD14" i="18" s="1"/>
  <c r="L14" i="18"/>
  <c r="AC14" i="18" s="1"/>
  <c r="K14" i="18"/>
  <c r="AB14" i="18" s="1"/>
  <c r="J14" i="18"/>
  <c r="AA14" i="18" s="1"/>
  <c r="I14" i="18"/>
  <c r="Z14" i="18" s="1"/>
  <c r="H14" i="18"/>
  <c r="Y14" i="18" s="1"/>
  <c r="G14" i="18"/>
  <c r="X14" i="18" s="1"/>
  <c r="F14" i="18"/>
  <c r="W14" i="18" s="1"/>
  <c r="E14" i="18"/>
  <c r="V14" i="18" s="1"/>
  <c r="D14" i="18"/>
  <c r="U14" i="18" s="1"/>
  <c r="C14" i="18"/>
  <c r="T14" i="18" s="1"/>
  <c r="B14" i="18"/>
  <c r="S14" i="18" s="1"/>
  <c r="Q13" i="18"/>
  <c r="AH13" i="18" s="1"/>
  <c r="P13" i="18"/>
  <c r="AG13" i="18" s="1"/>
  <c r="O13" i="18"/>
  <c r="AF13" i="18" s="1"/>
  <c r="N13" i="18"/>
  <c r="AE13" i="18" s="1"/>
  <c r="M13" i="18"/>
  <c r="AD13" i="18" s="1"/>
  <c r="L13" i="18"/>
  <c r="AC13" i="18" s="1"/>
  <c r="K13" i="18"/>
  <c r="AB13" i="18" s="1"/>
  <c r="J13" i="18"/>
  <c r="AA13" i="18" s="1"/>
  <c r="I13" i="18"/>
  <c r="Z13" i="18" s="1"/>
  <c r="H13" i="18"/>
  <c r="Y13" i="18" s="1"/>
  <c r="G13" i="18"/>
  <c r="X13" i="18" s="1"/>
  <c r="F13" i="18"/>
  <c r="W13" i="18" s="1"/>
  <c r="E13" i="18"/>
  <c r="V13" i="18" s="1"/>
  <c r="D13" i="18"/>
  <c r="U13" i="18" s="1"/>
  <c r="C13" i="18"/>
  <c r="T13" i="18" s="1"/>
  <c r="B13" i="18"/>
  <c r="S13" i="18" s="1"/>
  <c r="Q12" i="18"/>
  <c r="AH12" i="18" s="1"/>
  <c r="P12" i="18"/>
  <c r="AG12" i="18" s="1"/>
  <c r="O12" i="18"/>
  <c r="AF12" i="18" s="1"/>
  <c r="N12" i="18"/>
  <c r="AE12" i="18" s="1"/>
  <c r="M12" i="18"/>
  <c r="AD12" i="18" s="1"/>
  <c r="L12" i="18"/>
  <c r="AC12" i="18" s="1"/>
  <c r="K12" i="18"/>
  <c r="AB12" i="18" s="1"/>
  <c r="J12" i="18"/>
  <c r="AA12" i="18" s="1"/>
  <c r="I12" i="18"/>
  <c r="Z12" i="18" s="1"/>
  <c r="H12" i="18"/>
  <c r="Y12" i="18" s="1"/>
  <c r="G12" i="18"/>
  <c r="X12" i="18" s="1"/>
  <c r="F12" i="18"/>
  <c r="W12" i="18" s="1"/>
  <c r="E12" i="18"/>
  <c r="V12" i="18" s="1"/>
  <c r="D12" i="18"/>
  <c r="U12" i="18" s="1"/>
  <c r="C12" i="18"/>
  <c r="T12" i="18" s="1"/>
  <c r="B12" i="18"/>
  <c r="S12" i="18" s="1"/>
  <c r="Q11" i="18"/>
  <c r="AH11" i="18" s="1"/>
  <c r="P11" i="18"/>
  <c r="AG11" i="18" s="1"/>
  <c r="O11" i="18"/>
  <c r="AF11" i="18" s="1"/>
  <c r="N11" i="18"/>
  <c r="AE11" i="18" s="1"/>
  <c r="M11" i="18"/>
  <c r="AD11" i="18" s="1"/>
  <c r="L11" i="18"/>
  <c r="AC11" i="18" s="1"/>
  <c r="K11" i="18"/>
  <c r="AB11" i="18" s="1"/>
  <c r="J11" i="18"/>
  <c r="AA11" i="18" s="1"/>
  <c r="I11" i="18"/>
  <c r="Z11" i="18" s="1"/>
  <c r="H11" i="18"/>
  <c r="Y11" i="18" s="1"/>
  <c r="G11" i="18"/>
  <c r="X11" i="18" s="1"/>
  <c r="F11" i="18"/>
  <c r="W11" i="18" s="1"/>
  <c r="E11" i="18"/>
  <c r="V11" i="18" s="1"/>
  <c r="D11" i="18"/>
  <c r="U11" i="18" s="1"/>
  <c r="C11" i="18"/>
  <c r="T11" i="18" s="1"/>
  <c r="B11" i="18"/>
  <c r="S11" i="18" s="1"/>
  <c r="Q10" i="18"/>
  <c r="AH10" i="18" s="1"/>
  <c r="P10" i="18"/>
  <c r="AG10" i="18" s="1"/>
  <c r="O10" i="18"/>
  <c r="AF10" i="18" s="1"/>
  <c r="N10" i="18"/>
  <c r="AE10" i="18" s="1"/>
  <c r="M10" i="18"/>
  <c r="AD10" i="18" s="1"/>
  <c r="L10" i="18"/>
  <c r="AC10" i="18" s="1"/>
  <c r="K10" i="18"/>
  <c r="AB10" i="18" s="1"/>
  <c r="J10" i="18"/>
  <c r="AA10" i="18" s="1"/>
  <c r="I10" i="18"/>
  <c r="Z10" i="18" s="1"/>
  <c r="H10" i="18"/>
  <c r="Y10" i="18" s="1"/>
  <c r="G10" i="18"/>
  <c r="X10" i="18" s="1"/>
  <c r="F10" i="18"/>
  <c r="W10" i="18" s="1"/>
  <c r="E10" i="18"/>
  <c r="V10" i="18" s="1"/>
  <c r="D10" i="18"/>
  <c r="U10" i="18" s="1"/>
  <c r="C10" i="18"/>
  <c r="T10" i="18" s="1"/>
  <c r="B10" i="18"/>
  <c r="S10" i="18" s="1"/>
  <c r="Q9" i="18"/>
  <c r="AH9" i="18" s="1"/>
  <c r="P9" i="18"/>
  <c r="AG9" i="18" s="1"/>
  <c r="O9" i="18"/>
  <c r="AF9" i="18" s="1"/>
  <c r="N9" i="18"/>
  <c r="AE9" i="18" s="1"/>
  <c r="M9" i="18"/>
  <c r="AD9" i="18" s="1"/>
  <c r="L9" i="18"/>
  <c r="AC9" i="18" s="1"/>
  <c r="K9" i="18"/>
  <c r="AB9" i="18" s="1"/>
  <c r="J9" i="18"/>
  <c r="AA9" i="18" s="1"/>
  <c r="I9" i="18"/>
  <c r="Z9" i="18" s="1"/>
  <c r="H9" i="18"/>
  <c r="Y9" i="18" s="1"/>
  <c r="G9" i="18"/>
  <c r="X9" i="18" s="1"/>
  <c r="F9" i="18"/>
  <c r="W9" i="18" s="1"/>
  <c r="E9" i="18"/>
  <c r="V9" i="18" s="1"/>
  <c r="D9" i="18"/>
  <c r="U9" i="18" s="1"/>
  <c r="C9" i="18"/>
  <c r="T9" i="18" s="1"/>
  <c r="B9" i="18"/>
  <c r="S9" i="18" s="1"/>
  <c r="Q8" i="18"/>
  <c r="AH8" i="18" s="1"/>
  <c r="P8" i="18"/>
  <c r="AG8" i="18" s="1"/>
  <c r="O8" i="18"/>
  <c r="AF8" i="18" s="1"/>
  <c r="N8" i="18"/>
  <c r="AE8" i="18" s="1"/>
  <c r="M8" i="18"/>
  <c r="AD8" i="18" s="1"/>
  <c r="L8" i="18"/>
  <c r="AC8" i="18" s="1"/>
  <c r="K8" i="18"/>
  <c r="AB8" i="18" s="1"/>
  <c r="J8" i="18"/>
  <c r="AA8" i="18" s="1"/>
  <c r="I8" i="18"/>
  <c r="Z8" i="18" s="1"/>
  <c r="H8" i="18"/>
  <c r="Y8" i="18" s="1"/>
  <c r="G8" i="18"/>
  <c r="X8" i="18" s="1"/>
  <c r="F8" i="18"/>
  <c r="W8" i="18" s="1"/>
  <c r="E8" i="18"/>
  <c r="V8" i="18" s="1"/>
  <c r="D8" i="18"/>
  <c r="U8" i="18" s="1"/>
  <c r="C8" i="18"/>
  <c r="T8" i="18" s="1"/>
  <c r="B8" i="18"/>
  <c r="S8" i="18" s="1"/>
  <c r="Q7" i="18"/>
  <c r="AH7" i="18" s="1"/>
  <c r="P7" i="18"/>
  <c r="AG7" i="18" s="1"/>
  <c r="O7" i="18"/>
  <c r="AF7" i="18" s="1"/>
  <c r="N7" i="18"/>
  <c r="AE7" i="18" s="1"/>
  <c r="M7" i="18"/>
  <c r="AD7" i="18" s="1"/>
  <c r="L7" i="18"/>
  <c r="AC7" i="18" s="1"/>
  <c r="K7" i="18"/>
  <c r="AB7" i="18" s="1"/>
  <c r="J7" i="18"/>
  <c r="AA7" i="18" s="1"/>
  <c r="I7" i="18"/>
  <c r="Z7" i="18" s="1"/>
  <c r="H7" i="18"/>
  <c r="Y7" i="18" s="1"/>
  <c r="G7" i="18"/>
  <c r="X7" i="18" s="1"/>
  <c r="F7" i="18"/>
  <c r="W7" i="18" s="1"/>
  <c r="E7" i="18"/>
  <c r="V7" i="18" s="1"/>
  <c r="D7" i="18"/>
  <c r="U7" i="18" s="1"/>
  <c r="C7" i="18"/>
  <c r="T7" i="18" s="1"/>
  <c r="B7" i="18"/>
  <c r="S7" i="18" s="1"/>
  <c r="Q6" i="18"/>
  <c r="AH6" i="18" s="1"/>
  <c r="P6" i="18"/>
  <c r="AG6" i="18" s="1"/>
  <c r="O6" i="18"/>
  <c r="AF6" i="18" s="1"/>
  <c r="N6" i="18"/>
  <c r="AE6" i="18" s="1"/>
  <c r="M6" i="18"/>
  <c r="AD6" i="18" s="1"/>
  <c r="L6" i="18"/>
  <c r="AC6" i="18" s="1"/>
  <c r="K6" i="18"/>
  <c r="AB6" i="18" s="1"/>
  <c r="J6" i="18"/>
  <c r="AA6" i="18" s="1"/>
  <c r="I6" i="18"/>
  <c r="Z6" i="18" s="1"/>
  <c r="H6" i="18"/>
  <c r="Y6" i="18" s="1"/>
  <c r="G6" i="18"/>
  <c r="X6" i="18" s="1"/>
  <c r="F6" i="18"/>
  <c r="W6" i="18" s="1"/>
  <c r="E6" i="18"/>
  <c r="V6" i="18" s="1"/>
  <c r="D6" i="18"/>
  <c r="U6" i="18" s="1"/>
  <c r="C6" i="18"/>
  <c r="B6" i="18"/>
  <c r="AO49" i="18" s="1"/>
  <c r="Q5" i="18"/>
  <c r="AH5" i="18" s="1"/>
  <c r="P5" i="18"/>
  <c r="AG5" i="18" s="1"/>
  <c r="O5" i="18"/>
  <c r="AF5" i="18" s="1"/>
  <c r="N5" i="18"/>
  <c r="AE5" i="18" s="1"/>
  <c r="M5" i="18"/>
  <c r="AD5" i="18" s="1"/>
  <c r="L5" i="18"/>
  <c r="AC5" i="18" s="1"/>
  <c r="K5" i="18"/>
  <c r="AB5" i="18" s="1"/>
  <c r="J5" i="18"/>
  <c r="AA5" i="18" s="1"/>
  <c r="I5" i="18"/>
  <c r="Z5" i="18" s="1"/>
  <c r="H5" i="18"/>
  <c r="Y5" i="18" s="1"/>
  <c r="G5" i="18"/>
  <c r="X5" i="18" s="1"/>
  <c r="F5" i="18"/>
  <c r="W5" i="18" s="1"/>
  <c r="E5" i="18"/>
  <c r="V5" i="18" s="1"/>
  <c r="AO47" i="18" s="1"/>
  <c r="BL126" i="18" s="1"/>
  <c r="D5" i="18"/>
  <c r="C5" i="18"/>
  <c r="T5" i="18" s="1"/>
  <c r="B5" i="18"/>
  <c r="S5" i="18" s="1"/>
  <c r="Q4" i="18"/>
  <c r="AH4" i="18" s="1"/>
  <c r="P4" i="18"/>
  <c r="AG4" i="18" s="1"/>
  <c r="O4" i="18"/>
  <c r="AF4" i="18" s="1"/>
  <c r="N4" i="18"/>
  <c r="AE4" i="18" s="1"/>
  <c r="M4" i="18"/>
  <c r="AD4" i="18" s="1"/>
  <c r="L4" i="18"/>
  <c r="AC4" i="18" s="1"/>
  <c r="K4" i="18"/>
  <c r="AB4" i="18" s="1"/>
  <c r="J4" i="18"/>
  <c r="AA4" i="18" s="1"/>
  <c r="I4" i="18"/>
  <c r="Z4" i="18" s="1"/>
  <c r="H4" i="18"/>
  <c r="Y4" i="18" s="1"/>
  <c r="G4" i="18"/>
  <c r="F4" i="18"/>
  <c r="W4" i="18" s="1"/>
  <c r="E4" i="18"/>
  <c r="D4" i="18"/>
  <c r="C4" i="18"/>
  <c r="B4" i="18"/>
  <c r="S4" i="18" s="1"/>
  <c r="Q3" i="18"/>
  <c r="AH3" i="18" s="1"/>
  <c r="P3" i="18"/>
  <c r="AG3" i="18" s="1"/>
  <c r="O3" i="18"/>
  <c r="AF3" i="18" s="1"/>
  <c r="N3" i="18"/>
  <c r="AE3" i="18" s="1"/>
  <c r="M3" i="18"/>
  <c r="AD3" i="18" s="1"/>
  <c r="L3" i="18"/>
  <c r="AC3" i="18" s="1"/>
  <c r="K3" i="18"/>
  <c r="AB3" i="18" s="1"/>
  <c r="AO34" i="18" s="1"/>
  <c r="BB125" i="18" s="1"/>
  <c r="J3" i="18"/>
  <c r="AA3" i="18" s="1"/>
  <c r="I3" i="18"/>
  <c r="H3" i="18"/>
  <c r="Y3" i="18" s="1"/>
  <c r="G3" i="18"/>
  <c r="X3" i="18" s="1"/>
  <c r="F3" i="18"/>
  <c r="W3" i="18" s="1"/>
  <c r="E3" i="18"/>
  <c r="V3" i="18" s="1"/>
  <c r="D3" i="18"/>
  <c r="U3" i="18" s="1"/>
  <c r="C3" i="18"/>
  <c r="B3" i="18"/>
  <c r="S3" i="18" s="1"/>
  <c r="Q2" i="18"/>
  <c r="AH2" i="18" s="1"/>
  <c r="P2" i="18"/>
  <c r="AG2" i="18" s="1"/>
  <c r="O2" i="18"/>
  <c r="AF2" i="18" s="1"/>
  <c r="N2" i="18"/>
  <c r="AE2" i="18" s="1"/>
  <c r="M2" i="18"/>
  <c r="AD2" i="18" s="1"/>
  <c r="AO20" i="18" s="1"/>
  <c r="AI23" i="18" s="1"/>
  <c r="L2" i="18"/>
  <c r="AC2" i="18" s="1"/>
  <c r="K2" i="18"/>
  <c r="AB2" i="18" s="1"/>
  <c r="J2" i="18"/>
  <c r="AA2" i="18" s="1"/>
  <c r="I2" i="18"/>
  <c r="Z2" i="18" s="1"/>
  <c r="H2" i="18"/>
  <c r="G2" i="18"/>
  <c r="X2" i="18" s="1"/>
  <c r="F2" i="18"/>
  <c r="W2" i="18" s="1"/>
  <c r="E2" i="18"/>
  <c r="V2" i="18" s="1"/>
  <c r="D2" i="18"/>
  <c r="U2" i="18" s="1"/>
  <c r="C2" i="18"/>
  <c r="B2" i="18"/>
  <c r="S2" i="18" s="1"/>
  <c r="Q17" i="13"/>
  <c r="AY54" i="13" s="1"/>
  <c r="P17" i="13"/>
  <c r="AY53" i="13" s="1"/>
  <c r="O17" i="13"/>
  <c r="AY52" i="13" s="1"/>
  <c r="N17" i="13"/>
  <c r="AE17" i="13" s="1"/>
  <c r="M17" i="13"/>
  <c r="AD17" i="13" s="1"/>
  <c r="L17" i="13"/>
  <c r="AC17" i="13" s="1"/>
  <c r="K17" i="13"/>
  <c r="AB17" i="13" s="1"/>
  <c r="J17" i="13"/>
  <c r="I17" i="13"/>
  <c r="Z17" i="13" s="1"/>
  <c r="H17" i="13"/>
  <c r="Y17" i="13" s="1"/>
  <c r="G17" i="13"/>
  <c r="X17" i="13" s="1"/>
  <c r="F17" i="13"/>
  <c r="W17" i="13" s="1"/>
  <c r="E17" i="13"/>
  <c r="V17" i="13" s="1"/>
  <c r="D17" i="13"/>
  <c r="U17" i="13" s="1"/>
  <c r="C17" i="13"/>
  <c r="T17" i="13" s="1"/>
  <c r="AY32" i="13" s="1"/>
  <c r="B17" i="13"/>
  <c r="S17" i="13" s="1"/>
  <c r="AY21" i="13" s="1"/>
  <c r="Q16" i="13"/>
  <c r="AH16" i="13" s="1"/>
  <c r="P16" i="13"/>
  <c r="AG16" i="13" s="1"/>
  <c r="O16" i="13"/>
  <c r="AF16" i="13" s="1"/>
  <c r="N16" i="13"/>
  <c r="AE16" i="13" s="1"/>
  <c r="M16" i="13"/>
  <c r="AD16" i="13" s="1"/>
  <c r="L16" i="13"/>
  <c r="AC16" i="13" s="1"/>
  <c r="K16" i="13"/>
  <c r="AB16" i="13" s="1"/>
  <c r="J16" i="13"/>
  <c r="AA16" i="13" s="1"/>
  <c r="I16" i="13"/>
  <c r="Z16" i="13" s="1"/>
  <c r="H16" i="13"/>
  <c r="Y16" i="13" s="1"/>
  <c r="G16" i="13"/>
  <c r="X16" i="13" s="1"/>
  <c r="F16" i="13"/>
  <c r="W16" i="13" s="1"/>
  <c r="E16" i="13"/>
  <c r="V16" i="13" s="1"/>
  <c r="D16" i="13"/>
  <c r="U16" i="13" s="1"/>
  <c r="C16" i="13"/>
  <c r="T16" i="13" s="1"/>
  <c r="B16" i="13"/>
  <c r="S16" i="13" s="1"/>
  <c r="Q15" i="13"/>
  <c r="AH15" i="13" s="1"/>
  <c r="P15" i="13"/>
  <c r="AG15" i="13" s="1"/>
  <c r="O15" i="13"/>
  <c r="AF15" i="13" s="1"/>
  <c r="N15" i="13"/>
  <c r="AE15" i="13" s="1"/>
  <c r="M15" i="13"/>
  <c r="AD15" i="13" s="1"/>
  <c r="L15" i="13"/>
  <c r="AC15" i="13" s="1"/>
  <c r="K15" i="13"/>
  <c r="AB15" i="13" s="1"/>
  <c r="J15" i="13"/>
  <c r="AA15" i="13" s="1"/>
  <c r="I15" i="13"/>
  <c r="Z15" i="13" s="1"/>
  <c r="H15" i="13"/>
  <c r="Y15" i="13" s="1"/>
  <c r="G15" i="13"/>
  <c r="X15" i="13" s="1"/>
  <c r="F15" i="13"/>
  <c r="W15" i="13" s="1"/>
  <c r="E15" i="13"/>
  <c r="V15" i="13" s="1"/>
  <c r="D15" i="13"/>
  <c r="U15" i="13" s="1"/>
  <c r="C15" i="13"/>
  <c r="T15" i="13" s="1"/>
  <c r="B15" i="13"/>
  <c r="S15" i="13" s="1"/>
  <c r="Q14" i="13"/>
  <c r="AH14" i="13" s="1"/>
  <c r="P14" i="13"/>
  <c r="AG14" i="13" s="1"/>
  <c r="O14" i="13"/>
  <c r="AF14" i="13" s="1"/>
  <c r="N14" i="13"/>
  <c r="AE14" i="13" s="1"/>
  <c r="M14" i="13"/>
  <c r="AD14" i="13" s="1"/>
  <c r="L14" i="13"/>
  <c r="AC14" i="13" s="1"/>
  <c r="K14" i="13"/>
  <c r="AB14" i="13" s="1"/>
  <c r="J14" i="13"/>
  <c r="AA14" i="13" s="1"/>
  <c r="I14" i="13"/>
  <c r="Z14" i="13" s="1"/>
  <c r="H14" i="13"/>
  <c r="Y14" i="13" s="1"/>
  <c r="G14" i="13"/>
  <c r="X14" i="13" s="1"/>
  <c r="F14" i="13"/>
  <c r="W14" i="13" s="1"/>
  <c r="E14" i="13"/>
  <c r="V14" i="13" s="1"/>
  <c r="D14" i="13"/>
  <c r="U14" i="13" s="1"/>
  <c r="AY11" i="13" s="1"/>
  <c r="AZ11" i="13" s="1"/>
  <c r="C14" i="13"/>
  <c r="T14" i="13" s="1"/>
  <c r="AY10" i="13" s="1"/>
  <c r="B14" i="13"/>
  <c r="S14" i="13" s="1"/>
  <c r="AY9" i="13" s="1"/>
  <c r="Q13" i="13"/>
  <c r="AH13" i="13" s="1"/>
  <c r="P13" i="13"/>
  <c r="AG13" i="13" s="1"/>
  <c r="O13" i="13"/>
  <c r="AF13" i="13" s="1"/>
  <c r="N13" i="13"/>
  <c r="AE13" i="13" s="1"/>
  <c r="M13" i="13"/>
  <c r="AD13" i="13" s="1"/>
  <c r="L13" i="13"/>
  <c r="AC13" i="13" s="1"/>
  <c r="K13" i="13"/>
  <c r="AB13" i="13" s="1"/>
  <c r="J13" i="13"/>
  <c r="AA13" i="13" s="1"/>
  <c r="I13" i="13"/>
  <c r="Z13" i="13" s="1"/>
  <c r="H13" i="13"/>
  <c r="Y13" i="13" s="1"/>
  <c r="G13" i="13"/>
  <c r="X13" i="13" s="1"/>
  <c r="F13" i="13"/>
  <c r="W13" i="13" s="1"/>
  <c r="E13" i="13"/>
  <c r="V13" i="13" s="1"/>
  <c r="D13" i="13"/>
  <c r="U13" i="13" s="1"/>
  <c r="C13" i="13"/>
  <c r="T13" i="13" s="1"/>
  <c r="B13" i="13"/>
  <c r="S13" i="13" s="1"/>
  <c r="Q12" i="13"/>
  <c r="AH12" i="13" s="1"/>
  <c r="P12" i="13"/>
  <c r="AG12" i="13" s="1"/>
  <c r="O12" i="13"/>
  <c r="AF12" i="13" s="1"/>
  <c r="N12" i="13"/>
  <c r="AE12" i="13" s="1"/>
  <c r="M12" i="13"/>
  <c r="AD12" i="13" s="1"/>
  <c r="L12" i="13"/>
  <c r="AC12" i="13" s="1"/>
  <c r="K12" i="13"/>
  <c r="AB12" i="13" s="1"/>
  <c r="J12" i="13"/>
  <c r="AY6" i="13" s="1"/>
  <c r="D35" i="11" s="1"/>
  <c r="E35" i="11" s="1"/>
  <c r="I12" i="13"/>
  <c r="AY5" i="13" s="1"/>
  <c r="D34" i="11" s="1"/>
  <c r="H12" i="13"/>
  <c r="G12" i="13"/>
  <c r="X12" i="13" s="1"/>
  <c r="F12" i="13"/>
  <c r="W12" i="13" s="1"/>
  <c r="E12" i="13"/>
  <c r="V12" i="13" s="1"/>
  <c r="D12" i="13"/>
  <c r="U12" i="13" s="1"/>
  <c r="C12" i="13"/>
  <c r="T12" i="13" s="1"/>
  <c r="B12" i="13"/>
  <c r="S12" i="13" s="1"/>
  <c r="Q11" i="13"/>
  <c r="AH11" i="13" s="1"/>
  <c r="P11" i="13"/>
  <c r="AG11" i="13" s="1"/>
  <c r="O11" i="13"/>
  <c r="AF11" i="13" s="1"/>
  <c r="N11" i="13"/>
  <c r="AE11" i="13" s="1"/>
  <c r="M11" i="13"/>
  <c r="AD11" i="13" s="1"/>
  <c r="L11" i="13"/>
  <c r="AC11" i="13" s="1"/>
  <c r="K11" i="13"/>
  <c r="AB11" i="13" s="1"/>
  <c r="J11" i="13"/>
  <c r="AA11" i="13" s="1"/>
  <c r="I11" i="13"/>
  <c r="Z11" i="13" s="1"/>
  <c r="H11" i="13"/>
  <c r="Y11" i="13" s="1"/>
  <c r="G11" i="13"/>
  <c r="X11" i="13" s="1"/>
  <c r="F11" i="13"/>
  <c r="W11" i="13" s="1"/>
  <c r="E11" i="13"/>
  <c r="V11" i="13" s="1"/>
  <c r="D11" i="13"/>
  <c r="U11" i="13" s="1"/>
  <c r="C11" i="13"/>
  <c r="T11" i="13" s="1"/>
  <c r="B11" i="13"/>
  <c r="S11" i="13" s="1"/>
  <c r="Q10" i="13"/>
  <c r="AH10" i="13" s="1"/>
  <c r="P10" i="13"/>
  <c r="AG10" i="13" s="1"/>
  <c r="O10" i="13"/>
  <c r="AF10" i="13" s="1"/>
  <c r="N10" i="13"/>
  <c r="AE10" i="13" s="1"/>
  <c r="M10" i="13"/>
  <c r="AD10" i="13" s="1"/>
  <c r="L10" i="13"/>
  <c r="AC10" i="13" s="1"/>
  <c r="K10" i="13"/>
  <c r="AB10" i="13" s="1"/>
  <c r="J10" i="13"/>
  <c r="AA10" i="13" s="1"/>
  <c r="I10" i="13"/>
  <c r="Z10" i="13" s="1"/>
  <c r="H10" i="13"/>
  <c r="Y10" i="13" s="1"/>
  <c r="G10" i="13"/>
  <c r="X10" i="13" s="1"/>
  <c r="F10" i="13"/>
  <c r="W10" i="13" s="1"/>
  <c r="E10" i="13"/>
  <c r="V10" i="13" s="1"/>
  <c r="D10" i="13"/>
  <c r="U10" i="13" s="1"/>
  <c r="C10" i="13"/>
  <c r="T10" i="13" s="1"/>
  <c r="B10" i="13"/>
  <c r="S10" i="13" s="1"/>
  <c r="Q9" i="13"/>
  <c r="AH9" i="13" s="1"/>
  <c r="P9" i="13"/>
  <c r="AG9" i="13" s="1"/>
  <c r="O9" i="13"/>
  <c r="AF9" i="13" s="1"/>
  <c r="N9" i="13"/>
  <c r="AE9" i="13" s="1"/>
  <c r="M9" i="13"/>
  <c r="AD9" i="13" s="1"/>
  <c r="L9" i="13"/>
  <c r="AC9" i="13" s="1"/>
  <c r="K9" i="13"/>
  <c r="AB9" i="13" s="1"/>
  <c r="J9" i="13"/>
  <c r="AA9" i="13" s="1"/>
  <c r="I9" i="13"/>
  <c r="Z9" i="13" s="1"/>
  <c r="H9" i="13"/>
  <c r="Y9" i="13" s="1"/>
  <c r="G9" i="13"/>
  <c r="X9" i="13" s="1"/>
  <c r="F9" i="13"/>
  <c r="W9" i="13" s="1"/>
  <c r="E9" i="13"/>
  <c r="V9" i="13" s="1"/>
  <c r="D9" i="13"/>
  <c r="U9" i="13" s="1"/>
  <c r="C9" i="13"/>
  <c r="T9" i="13" s="1"/>
  <c r="B9" i="13"/>
  <c r="S9" i="13" s="1"/>
  <c r="Q8" i="13"/>
  <c r="AH8" i="13" s="1"/>
  <c r="P8" i="13"/>
  <c r="AG8" i="13" s="1"/>
  <c r="O8" i="13"/>
  <c r="AF8" i="13" s="1"/>
  <c r="N8" i="13"/>
  <c r="AE8" i="13" s="1"/>
  <c r="M8" i="13"/>
  <c r="AD8" i="13" s="1"/>
  <c r="L8" i="13"/>
  <c r="AC8" i="13" s="1"/>
  <c r="K8" i="13"/>
  <c r="AB8" i="13" s="1"/>
  <c r="J8" i="13"/>
  <c r="AA8" i="13" s="1"/>
  <c r="I8" i="13"/>
  <c r="Z8" i="13" s="1"/>
  <c r="H8" i="13"/>
  <c r="Y8" i="13" s="1"/>
  <c r="G8" i="13"/>
  <c r="X8" i="13" s="1"/>
  <c r="F8" i="13"/>
  <c r="W8" i="13" s="1"/>
  <c r="E8" i="13"/>
  <c r="V8" i="13" s="1"/>
  <c r="D8" i="13"/>
  <c r="U8" i="13" s="1"/>
  <c r="C8" i="13"/>
  <c r="T8" i="13" s="1"/>
  <c r="B8" i="13"/>
  <c r="S8" i="13" s="1"/>
  <c r="Q7" i="13"/>
  <c r="AH7" i="13" s="1"/>
  <c r="P7" i="13"/>
  <c r="AG7" i="13" s="1"/>
  <c r="O7" i="13"/>
  <c r="AF7" i="13" s="1"/>
  <c r="N7" i="13"/>
  <c r="AE7" i="13" s="1"/>
  <c r="M7" i="13"/>
  <c r="AD7" i="13" s="1"/>
  <c r="L7" i="13"/>
  <c r="AC7" i="13" s="1"/>
  <c r="K7" i="13"/>
  <c r="AB7" i="13" s="1"/>
  <c r="J7" i="13"/>
  <c r="I7" i="13"/>
  <c r="Z7" i="13" s="1"/>
  <c r="H7" i="13"/>
  <c r="Y7" i="13" s="1"/>
  <c r="G7" i="13"/>
  <c r="X7" i="13" s="1"/>
  <c r="F7" i="13"/>
  <c r="W7" i="13" s="1"/>
  <c r="E7" i="13"/>
  <c r="V7" i="13" s="1"/>
  <c r="D7" i="13"/>
  <c r="U7" i="13" s="1"/>
  <c r="C7" i="13"/>
  <c r="T7" i="13" s="1"/>
  <c r="B7" i="13"/>
  <c r="S7" i="13" s="1"/>
  <c r="Q6" i="13"/>
  <c r="AH6" i="13" s="1"/>
  <c r="P6" i="13"/>
  <c r="AG6" i="13" s="1"/>
  <c r="O6" i="13"/>
  <c r="AF6" i="13" s="1"/>
  <c r="N6" i="13"/>
  <c r="AE6" i="13" s="1"/>
  <c r="M6" i="13"/>
  <c r="AD6" i="13" s="1"/>
  <c r="L6" i="13"/>
  <c r="AC6" i="13" s="1"/>
  <c r="K6" i="13"/>
  <c r="AB6" i="13" s="1"/>
  <c r="J6" i="13"/>
  <c r="AA6" i="13" s="1"/>
  <c r="I6" i="13"/>
  <c r="Z6" i="13" s="1"/>
  <c r="H6" i="13"/>
  <c r="Y6" i="13" s="1"/>
  <c r="G6" i="13"/>
  <c r="X6" i="13" s="1"/>
  <c r="F6" i="13"/>
  <c r="W6" i="13" s="1"/>
  <c r="E6" i="13"/>
  <c r="V6" i="13" s="1"/>
  <c r="D6" i="13"/>
  <c r="U6" i="13" s="1"/>
  <c r="C6" i="13"/>
  <c r="T6" i="13" s="1"/>
  <c r="AO73" i="13" s="1"/>
  <c r="B6" i="13"/>
  <c r="S6" i="13" s="1"/>
  <c r="AO69" i="13" s="1"/>
  <c r="Q5" i="13"/>
  <c r="AH5" i="13" s="1"/>
  <c r="P5" i="13"/>
  <c r="AG5" i="13" s="1"/>
  <c r="O5" i="13"/>
  <c r="AF5" i="13" s="1"/>
  <c r="N5" i="13"/>
  <c r="AE5" i="13" s="1"/>
  <c r="M5" i="13"/>
  <c r="AD5" i="13" s="1"/>
  <c r="L5" i="13"/>
  <c r="AC5" i="13" s="1"/>
  <c r="K5" i="13"/>
  <c r="AB5" i="13" s="1"/>
  <c r="J5" i="13"/>
  <c r="AA5" i="13" s="1"/>
  <c r="I5" i="13"/>
  <c r="Z5" i="13" s="1"/>
  <c r="AO56" i="13" s="1"/>
  <c r="H5" i="13"/>
  <c r="Y5" i="13" s="1"/>
  <c r="AO55" i="13" s="1"/>
  <c r="G5" i="13"/>
  <c r="X5" i="13" s="1"/>
  <c r="AO54" i="13" s="1"/>
  <c r="F5" i="13"/>
  <c r="W5" i="13" s="1"/>
  <c r="AO53" i="13" s="1"/>
  <c r="E5" i="13"/>
  <c r="V5" i="13" s="1"/>
  <c r="D5" i="13"/>
  <c r="U5" i="13" s="1"/>
  <c r="C5" i="13"/>
  <c r="T5" i="13" s="1"/>
  <c r="B5" i="13"/>
  <c r="S5" i="13" s="1"/>
  <c r="Q4" i="13"/>
  <c r="AH4" i="13" s="1"/>
  <c r="P4" i="13"/>
  <c r="AG4" i="13" s="1"/>
  <c r="O4" i="13"/>
  <c r="AF4" i="13" s="1"/>
  <c r="N4" i="13"/>
  <c r="AE4" i="13" s="1"/>
  <c r="M4" i="13"/>
  <c r="AD4" i="13" s="1"/>
  <c r="L4" i="13"/>
  <c r="AC4" i="13" s="1"/>
  <c r="K4" i="13"/>
  <c r="AB4" i="13" s="1"/>
  <c r="J4" i="13"/>
  <c r="AA4" i="13" s="1"/>
  <c r="I4" i="13"/>
  <c r="Z4" i="13" s="1"/>
  <c r="H4" i="13"/>
  <c r="Y4" i="13" s="1"/>
  <c r="G4" i="13"/>
  <c r="X4" i="13" s="1"/>
  <c r="F4" i="13"/>
  <c r="W4" i="13" s="1"/>
  <c r="E4" i="13"/>
  <c r="V4" i="13" s="1"/>
  <c r="D4" i="13"/>
  <c r="U4" i="13" s="1"/>
  <c r="C4" i="13"/>
  <c r="T4" i="13" s="1"/>
  <c r="B4" i="13"/>
  <c r="S4" i="13" s="1"/>
  <c r="Q3" i="13"/>
  <c r="AH3" i="13" s="1"/>
  <c r="P3" i="13"/>
  <c r="AG3" i="13" s="1"/>
  <c r="AO50" i="13" s="1"/>
  <c r="O3" i="13"/>
  <c r="AF3" i="13" s="1"/>
  <c r="AO39" i="13" s="1"/>
  <c r="N3" i="13"/>
  <c r="AE3" i="13" s="1"/>
  <c r="M3" i="13"/>
  <c r="AO36" i="13" s="1"/>
  <c r="L3" i="13"/>
  <c r="K3" i="13"/>
  <c r="J3" i="13"/>
  <c r="AA3" i="13" s="1"/>
  <c r="I3" i="13"/>
  <c r="Z3" i="13" s="1"/>
  <c r="H3" i="13"/>
  <c r="Y3" i="13" s="1"/>
  <c r="G3" i="13"/>
  <c r="X3" i="13" s="1"/>
  <c r="F3" i="13"/>
  <c r="W3" i="13" s="1"/>
  <c r="E3" i="13"/>
  <c r="V3" i="13" s="1"/>
  <c r="D3" i="13"/>
  <c r="U3" i="13" s="1"/>
  <c r="C3" i="13"/>
  <c r="T3" i="13" s="1"/>
  <c r="B3" i="13"/>
  <c r="S3" i="13" s="1"/>
  <c r="Q2" i="13"/>
  <c r="AH2" i="13" s="1"/>
  <c r="P2" i="13"/>
  <c r="AG2" i="13" s="1"/>
  <c r="O2" i="13"/>
  <c r="AF2" i="13" s="1"/>
  <c r="N2" i="13"/>
  <c r="AE2" i="13" s="1"/>
  <c r="M2" i="13"/>
  <c r="AD2" i="13" s="1"/>
  <c r="L2" i="13"/>
  <c r="AC2" i="13" s="1"/>
  <c r="K2" i="13"/>
  <c r="AB2" i="13" s="1"/>
  <c r="J2" i="13"/>
  <c r="AA2" i="13" s="1"/>
  <c r="I2" i="13"/>
  <c r="Z2" i="13" s="1"/>
  <c r="H2" i="13"/>
  <c r="Y2" i="13" s="1"/>
  <c r="AO20" i="13" s="1"/>
  <c r="G2" i="13"/>
  <c r="X2" i="13" s="1"/>
  <c r="AO11" i="13" s="1"/>
  <c r="F2" i="13"/>
  <c r="W2" i="13" s="1"/>
  <c r="E2" i="13"/>
  <c r="V2" i="13" s="1"/>
  <c r="D2" i="13"/>
  <c r="U2" i="13" s="1"/>
  <c r="C2" i="13"/>
  <c r="T2" i="13" s="1"/>
  <c r="B2" i="13"/>
  <c r="S2" i="13" s="1"/>
  <c r="Q17" i="12"/>
  <c r="P17" i="12"/>
  <c r="O17" i="12"/>
  <c r="N17" i="12"/>
  <c r="AE17" i="12" s="1"/>
  <c r="M17" i="12"/>
  <c r="AD17" i="12" s="1"/>
  <c r="L17" i="12"/>
  <c r="AC17" i="12" s="1"/>
  <c r="K17" i="12"/>
  <c r="AB17" i="12" s="1"/>
  <c r="J17" i="12"/>
  <c r="AA17" i="12" s="1"/>
  <c r="I17" i="12"/>
  <c r="Z17" i="12" s="1"/>
  <c r="H17" i="12"/>
  <c r="G17" i="12"/>
  <c r="X17" i="12" s="1"/>
  <c r="F17" i="12"/>
  <c r="E17" i="12"/>
  <c r="V17" i="12" s="1"/>
  <c r="D17" i="12"/>
  <c r="U17" i="12" s="1"/>
  <c r="C17" i="12"/>
  <c r="T17" i="12" s="1"/>
  <c r="B17" i="12"/>
  <c r="S17" i="12" s="1"/>
  <c r="Q16" i="12"/>
  <c r="AH16" i="12" s="1"/>
  <c r="P16" i="12"/>
  <c r="AG16" i="12" s="1"/>
  <c r="O16" i="12"/>
  <c r="AF16" i="12" s="1"/>
  <c r="N16" i="12"/>
  <c r="AE16" i="12" s="1"/>
  <c r="M16" i="12"/>
  <c r="AD16" i="12" s="1"/>
  <c r="L16" i="12"/>
  <c r="AC16" i="12" s="1"/>
  <c r="K16" i="12"/>
  <c r="AB16" i="12" s="1"/>
  <c r="J16" i="12"/>
  <c r="AA16" i="12" s="1"/>
  <c r="I16" i="12"/>
  <c r="Z16" i="12" s="1"/>
  <c r="H16" i="12"/>
  <c r="Y16" i="12" s="1"/>
  <c r="G16" i="12"/>
  <c r="X16" i="12" s="1"/>
  <c r="F16" i="12"/>
  <c r="W16" i="12" s="1"/>
  <c r="E16" i="12"/>
  <c r="V16" i="12" s="1"/>
  <c r="D16" i="12"/>
  <c r="U16" i="12" s="1"/>
  <c r="C16" i="12"/>
  <c r="T16" i="12" s="1"/>
  <c r="B16" i="12"/>
  <c r="S16" i="12" s="1"/>
  <c r="Q15" i="12"/>
  <c r="AH15" i="12" s="1"/>
  <c r="P15" i="12"/>
  <c r="AG15" i="12" s="1"/>
  <c r="O15" i="12"/>
  <c r="AF15" i="12" s="1"/>
  <c r="N15" i="12"/>
  <c r="AE15" i="12" s="1"/>
  <c r="M15" i="12"/>
  <c r="AD15" i="12" s="1"/>
  <c r="L15" i="12"/>
  <c r="AC15" i="12" s="1"/>
  <c r="K15" i="12"/>
  <c r="AB15" i="12" s="1"/>
  <c r="J15" i="12"/>
  <c r="AA15" i="12" s="1"/>
  <c r="I15" i="12"/>
  <c r="Z15" i="12" s="1"/>
  <c r="H15" i="12"/>
  <c r="Y15" i="12" s="1"/>
  <c r="G15" i="12"/>
  <c r="X15" i="12" s="1"/>
  <c r="F15" i="12"/>
  <c r="W15" i="12" s="1"/>
  <c r="E15" i="12"/>
  <c r="V15" i="12" s="1"/>
  <c r="D15" i="12"/>
  <c r="U15" i="12" s="1"/>
  <c r="C15" i="12"/>
  <c r="T15" i="12" s="1"/>
  <c r="B15" i="12"/>
  <c r="S15" i="12" s="1"/>
  <c r="Q14" i="12"/>
  <c r="AH14" i="12" s="1"/>
  <c r="P14" i="12"/>
  <c r="AG14" i="12" s="1"/>
  <c r="O14" i="12"/>
  <c r="AF14" i="12" s="1"/>
  <c r="N14" i="12"/>
  <c r="AE14" i="12" s="1"/>
  <c r="M14" i="12"/>
  <c r="AD14" i="12" s="1"/>
  <c r="L14" i="12"/>
  <c r="AC14" i="12" s="1"/>
  <c r="K14" i="12"/>
  <c r="AB14" i="12" s="1"/>
  <c r="J14" i="12"/>
  <c r="AA14" i="12" s="1"/>
  <c r="I14" i="12"/>
  <c r="Z14" i="12" s="1"/>
  <c r="H14" i="12"/>
  <c r="Y14" i="12" s="1"/>
  <c r="G14" i="12"/>
  <c r="X14" i="12" s="1"/>
  <c r="F14" i="12"/>
  <c r="W14" i="12" s="1"/>
  <c r="E14" i="12"/>
  <c r="V14" i="12" s="1"/>
  <c r="D14" i="12"/>
  <c r="U14" i="12" s="1"/>
  <c r="C14" i="12"/>
  <c r="T14" i="12" s="1"/>
  <c r="B14" i="12"/>
  <c r="S14" i="12" s="1"/>
  <c r="Q13" i="12"/>
  <c r="AH13" i="12" s="1"/>
  <c r="P13" i="12"/>
  <c r="AG13" i="12" s="1"/>
  <c r="O13" i="12"/>
  <c r="AF13" i="12" s="1"/>
  <c r="N13" i="12"/>
  <c r="AE13" i="12" s="1"/>
  <c r="M13" i="12"/>
  <c r="AD13" i="12" s="1"/>
  <c r="L13" i="12"/>
  <c r="AC13" i="12" s="1"/>
  <c r="K13" i="12"/>
  <c r="AB13" i="12" s="1"/>
  <c r="J13" i="12"/>
  <c r="AA13" i="12" s="1"/>
  <c r="I13" i="12"/>
  <c r="Z13" i="12" s="1"/>
  <c r="H13" i="12"/>
  <c r="Y13" i="12" s="1"/>
  <c r="G13" i="12"/>
  <c r="X13" i="12" s="1"/>
  <c r="F13" i="12"/>
  <c r="W13" i="12" s="1"/>
  <c r="E13" i="12"/>
  <c r="V13" i="12" s="1"/>
  <c r="D13" i="12"/>
  <c r="U13" i="12" s="1"/>
  <c r="C13" i="12"/>
  <c r="T13" i="12" s="1"/>
  <c r="B13" i="12"/>
  <c r="S13" i="12" s="1"/>
  <c r="Q12" i="12"/>
  <c r="AH12" i="12" s="1"/>
  <c r="P12" i="12"/>
  <c r="AG12" i="12" s="1"/>
  <c r="O12" i="12"/>
  <c r="AF12" i="12" s="1"/>
  <c r="N12" i="12"/>
  <c r="AE12" i="12" s="1"/>
  <c r="M12" i="12"/>
  <c r="AD12" i="12" s="1"/>
  <c r="L12" i="12"/>
  <c r="AC12" i="12" s="1"/>
  <c r="AQ43" i="12" s="1"/>
  <c r="K12" i="12"/>
  <c r="AB12" i="12" s="1"/>
  <c r="AQ42" i="12" s="1"/>
  <c r="J12" i="12"/>
  <c r="AA12" i="12" s="1"/>
  <c r="I12" i="12"/>
  <c r="H12" i="12"/>
  <c r="G12" i="12"/>
  <c r="X12" i="12" s="1"/>
  <c r="F12" i="12"/>
  <c r="W12" i="12" s="1"/>
  <c r="E12" i="12"/>
  <c r="V12" i="12" s="1"/>
  <c r="D12" i="12"/>
  <c r="U12" i="12" s="1"/>
  <c r="C12" i="12"/>
  <c r="T12" i="12" s="1"/>
  <c r="B12" i="12"/>
  <c r="S12" i="12" s="1"/>
  <c r="Q11" i="12"/>
  <c r="AH11" i="12" s="1"/>
  <c r="P11" i="12"/>
  <c r="AG11" i="12" s="1"/>
  <c r="O11" i="12"/>
  <c r="AF11" i="12" s="1"/>
  <c r="N11" i="12"/>
  <c r="AE11" i="12" s="1"/>
  <c r="M11" i="12"/>
  <c r="AD11" i="12" s="1"/>
  <c r="L11" i="12"/>
  <c r="AC11" i="12" s="1"/>
  <c r="K11" i="12"/>
  <c r="AB11" i="12" s="1"/>
  <c r="J11" i="12"/>
  <c r="AA11" i="12" s="1"/>
  <c r="I11" i="12"/>
  <c r="Z11" i="12" s="1"/>
  <c r="H11" i="12"/>
  <c r="Y11" i="12" s="1"/>
  <c r="G11" i="12"/>
  <c r="X11" i="12" s="1"/>
  <c r="F11" i="12"/>
  <c r="W11" i="12" s="1"/>
  <c r="E11" i="12"/>
  <c r="V11" i="12" s="1"/>
  <c r="D11" i="12"/>
  <c r="U11" i="12" s="1"/>
  <c r="C11" i="12"/>
  <c r="T11" i="12" s="1"/>
  <c r="B11" i="12"/>
  <c r="S11" i="12" s="1"/>
  <c r="Q10" i="12"/>
  <c r="AH10" i="12" s="1"/>
  <c r="P10" i="12"/>
  <c r="AG10" i="12" s="1"/>
  <c r="O10" i="12"/>
  <c r="AF10" i="12" s="1"/>
  <c r="N10" i="12"/>
  <c r="AE10" i="12" s="1"/>
  <c r="M10" i="12"/>
  <c r="AD10" i="12" s="1"/>
  <c r="L10" i="12"/>
  <c r="AC10" i="12" s="1"/>
  <c r="K10" i="12"/>
  <c r="AB10" i="12" s="1"/>
  <c r="J10" i="12"/>
  <c r="AA10" i="12" s="1"/>
  <c r="I10" i="12"/>
  <c r="Z10" i="12" s="1"/>
  <c r="H10" i="12"/>
  <c r="Y10" i="12" s="1"/>
  <c r="G10" i="12"/>
  <c r="X10" i="12" s="1"/>
  <c r="F10" i="12"/>
  <c r="W10" i="12" s="1"/>
  <c r="E10" i="12"/>
  <c r="V10" i="12" s="1"/>
  <c r="AQ25" i="12" s="1"/>
  <c r="D10" i="12"/>
  <c r="U10" i="12" s="1"/>
  <c r="C10" i="12"/>
  <c r="T10" i="12" s="1"/>
  <c r="B10" i="12"/>
  <c r="S10" i="12" s="1"/>
  <c r="Q9" i="12"/>
  <c r="AH9" i="12" s="1"/>
  <c r="P9" i="12"/>
  <c r="AG9" i="12" s="1"/>
  <c r="O9" i="12"/>
  <c r="AF9" i="12" s="1"/>
  <c r="N9" i="12"/>
  <c r="AE9" i="12" s="1"/>
  <c r="M9" i="12"/>
  <c r="AD9" i="12" s="1"/>
  <c r="L9" i="12"/>
  <c r="AC9" i="12" s="1"/>
  <c r="K9" i="12"/>
  <c r="AB9" i="12" s="1"/>
  <c r="J9" i="12"/>
  <c r="AA9" i="12" s="1"/>
  <c r="I9" i="12"/>
  <c r="Z9" i="12" s="1"/>
  <c r="H9" i="12"/>
  <c r="Y9" i="12" s="1"/>
  <c r="G9" i="12"/>
  <c r="X9" i="12" s="1"/>
  <c r="F9" i="12"/>
  <c r="W9" i="12" s="1"/>
  <c r="E9" i="12"/>
  <c r="V9" i="12" s="1"/>
  <c r="D9" i="12"/>
  <c r="U9" i="12" s="1"/>
  <c r="C9" i="12"/>
  <c r="T9" i="12" s="1"/>
  <c r="B9" i="12"/>
  <c r="S9" i="12" s="1"/>
  <c r="Q8" i="12"/>
  <c r="AH8" i="12" s="1"/>
  <c r="P8" i="12"/>
  <c r="AG8" i="12" s="1"/>
  <c r="O8" i="12"/>
  <c r="AF8" i="12" s="1"/>
  <c r="N8" i="12"/>
  <c r="AE8" i="12" s="1"/>
  <c r="M8" i="12"/>
  <c r="AD8" i="12" s="1"/>
  <c r="L8" i="12"/>
  <c r="AC8" i="12" s="1"/>
  <c r="K8" i="12"/>
  <c r="AB8" i="12" s="1"/>
  <c r="J8" i="12"/>
  <c r="AA8" i="12" s="1"/>
  <c r="I8" i="12"/>
  <c r="Z8" i="12" s="1"/>
  <c r="H8" i="12"/>
  <c r="Y8" i="12" s="1"/>
  <c r="G8" i="12"/>
  <c r="X8" i="12" s="1"/>
  <c r="F8" i="12"/>
  <c r="W8" i="12" s="1"/>
  <c r="E8" i="12"/>
  <c r="V8" i="12" s="1"/>
  <c r="D8" i="12"/>
  <c r="U8" i="12" s="1"/>
  <c r="C8" i="12"/>
  <c r="T8" i="12" s="1"/>
  <c r="B8" i="12"/>
  <c r="S8" i="12" s="1"/>
  <c r="Q7" i="12"/>
  <c r="AH7" i="12" s="1"/>
  <c r="P7" i="12"/>
  <c r="AG7" i="12" s="1"/>
  <c r="O7" i="12"/>
  <c r="AF7" i="12" s="1"/>
  <c r="N7" i="12"/>
  <c r="AE7" i="12" s="1"/>
  <c r="M7" i="12"/>
  <c r="AD7" i="12" s="1"/>
  <c r="L7" i="12"/>
  <c r="AC7" i="12" s="1"/>
  <c r="K7" i="12"/>
  <c r="AB7" i="12" s="1"/>
  <c r="J7" i="12"/>
  <c r="AA7" i="12" s="1"/>
  <c r="I7" i="12"/>
  <c r="Z7" i="12" s="1"/>
  <c r="H7" i="12"/>
  <c r="Y7" i="12" s="1"/>
  <c r="G7" i="12"/>
  <c r="X7" i="12" s="1"/>
  <c r="F7" i="12"/>
  <c r="W7" i="12" s="1"/>
  <c r="E7" i="12"/>
  <c r="V7" i="12" s="1"/>
  <c r="D7" i="12"/>
  <c r="U7" i="12" s="1"/>
  <c r="C7" i="12"/>
  <c r="T7" i="12" s="1"/>
  <c r="B7" i="12"/>
  <c r="S7" i="12" s="1"/>
  <c r="Q6" i="12"/>
  <c r="AH6" i="12" s="1"/>
  <c r="P6" i="12"/>
  <c r="AG6" i="12" s="1"/>
  <c r="O6" i="12"/>
  <c r="AF6" i="12" s="1"/>
  <c r="N6" i="12"/>
  <c r="AE6" i="12" s="1"/>
  <c r="M6" i="12"/>
  <c r="AD6" i="12" s="1"/>
  <c r="L6" i="12"/>
  <c r="AC6" i="12" s="1"/>
  <c r="K6" i="12"/>
  <c r="AB6" i="12" s="1"/>
  <c r="J6" i="12"/>
  <c r="AA6" i="12" s="1"/>
  <c r="I6" i="12"/>
  <c r="Z6" i="12" s="1"/>
  <c r="H6" i="12"/>
  <c r="Y6" i="12" s="1"/>
  <c r="G6" i="12"/>
  <c r="X6" i="12" s="1"/>
  <c r="F6" i="12"/>
  <c r="W6" i="12" s="1"/>
  <c r="E6" i="12"/>
  <c r="V6" i="12" s="1"/>
  <c r="D6" i="12"/>
  <c r="U6" i="12" s="1"/>
  <c r="C6" i="12"/>
  <c r="T6" i="12" s="1"/>
  <c r="B6" i="12"/>
  <c r="Q5" i="12"/>
  <c r="AH5" i="12" s="1"/>
  <c r="P5" i="12"/>
  <c r="AG5" i="12" s="1"/>
  <c r="O5" i="12"/>
  <c r="AF5" i="12" s="1"/>
  <c r="AQ34" i="12" s="1"/>
  <c r="BN52" i="12" s="1"/>
  <c r="N5" i="12"/>
  <c r="AE5" i="12" s="1"/>
  <c r="AQ33" i="12" s="1"/>
  <c r="BN38" i="12" s="1"/>
  <c r="M5" i="12"/>
  <c r="AD5" i="12" s="1"/>
  <c r="AQ32" i="12" s="1"/>
  <c r="BN24" i="12" s="1"/>
  <c r="L5" i="12"/>
  <c r="AC5" i="12" s="1"/>
  <c r="AQ31" i="12" s="1"/>
  <c r="K5" i="12"/>
  <c r="AB5" i="12" s="1"/>
  <c r="J5" i="12"/>
  <c r="AA5" i="12" s="1"/>
  <c r="I5" i="12"/>
  <c r="Z5" i="12" s="1"/>
  <c r="H5" i="12"/>
  <c r="Y5" i="12" s="1"/>
  <c r="G5" i="12"/>
  <c r="X5" i="12" s="1"/>
  <c r="AQ30" i="12" s="1"/>
  <c r="BN14" i="12" s="1"/>
  <c r="F5" i="12"/>
  <c r="W5" i="12" s="1"/>
  <c r="AQ29" i="12" s="1"/>
  <c r="BN4" i="12" s="1"/>
  <c r="E5" i="12"/>
  <c r="V5" i="12" s="1"/>
  <c r="AQ28" i="12" s="1"/>
  <c r="BD127" i="12" s="1"/>
  <c r="D5" i="12"/>
  <c r="U5" i="12" s="1"/>
  <c r="C5" i="12"/>
  <c r="T5" i="12" s="1"/>
  <c r="AQ26" i="12" s="1"/>
  <c r="BD103" i="12" s="1"/>
  <c r="B5" i="12"/>
  <c r="S5" i="12" s="1"/>
  <c r="AQ24" i="12" s="1"/>
  <c r="Q4" i="12"/>
  <c r="AH4" i="12" s="1"/>
  <c r="AQ23" i="12" s="1"/>
  <c r="BD93" i="12" s="1"/>
  <c r="P4" i="12"/>
  <c r="AG4" i="12" s="1"/>
  <c r="AQ22" i="12" s="1"/>
  <c r="BD83" i="12" s="1"/>
  <c r="O4" i="12"/>
  <c r="AF4" i="12" s="1"/>
  <c r="AQ21" i="12" s="1"/>
  <c r="BD73" i="12" s="1"/>
  <c r="N4" i="12"/>
  <c r="AE4" i="12" s="1"/>
  <c r="AQ20" i="12" s="1"/>
  <c r="BD63" i="12" s="1"/>
  <c r="M4" i="12"/>
  <c r="AD4" i="12" s="1"/>
  <c r="AQ19" i="12" s="1"/>
  <c r="BD53" i="12" s="1"/>
  <c r="L4" i="12"/>
  <c r="AC4" i="12" s="1"/>
  <c r="AQ18" i="12" s="1"/>
  <c r="BD43" i="12" s="1"/>
  <c r="K4" i="12"/>
  <c r="AB4" i="12" s="1"/>
  <c r="AQ17" i="12" s="1"/>
  <c r="BD34" i="12" s="1"/>
  <c r="J4" i="12"/>
  <c r="AA4" i="12" s="1"/>
  <c r="AQ16" i="12" s="1"/>
  <c r="BD24" i="12" s="1"/>
  <c r="I4" i="12"/>
  <c r="Z4" i="12" s="1"/>
  <c r="AQ15" i="12" s="1"/>
  <c r="BD14" i="12" s="1"/>
  <c r="BN18" i="12" s="1"/>
  <c r="H4" i="12"/>
  <c r="Y4" i="12" s="1"/>
  <c r="AQ14" i="12" s="1"/>
  <c r="BD4" i="12" s="1"/>
  <c r="BN6" i="12" s="1"/>
  <c r="G4" i="12"/>
  <c r="X4" i="12" s="1"/>
  <c r="F4" i="12"/>
  <c r="W4" i="12" s="1"/>
  <c r="E4" i="12"/>
  <c r="V4" i="12" s="1"/>
  <c r="D4" i="12"/>
  <c r="U4" i="12" s="1"/>
  <c r="C4" i="12"/>
  <c r="T4" i="12" s="1"/>
  <c r="B4" i="12"/>
  <c r="S4" i="12" s="1"/>
  <c r="Q3" i="12"/>
  <c r="AH3" i="12" s="1"/>
  <c r="P3" i="12"/>
  <c r="AG3" i="12" s="1"/>
  <c r="O3" i="12"/>
  <c r="AF3" i="12" s="1"/>
  <c r="N3" i="12"/>
  <c r="AE3" i="12" s="1"/>
  <c r="M3" i="12"/>
  <c r="AD3" i="12" s="1"/>
  <c r="L3" i="12"/>
  <c r="AC3" i="12" s="1"/>
  <c r="K3" i="12"/>
  <c r="AB3" i="12" s="1"/>
  <c r="J3" i="12"/>
  <c r="AA3" i="12" s="1"/>
  <c r="I3" i="12"/>
  <c r="Z3" i="12" s="1"/>
  <c r="H3" i="12"/>
  <c r="Y3" i="12" s="1"/>
  <c r="G3" i="12"/>
  <c r="X3" i="12" s="1"/>
  <c r="F3" i="12"/>
  <c r="W3" i="12" s="1"/>
  <c r="E3" i="12"/>
  <c r="V3" i="12" s="1"/>
  <c r="D3" i="12"/>
  <c r="U3" i="12" s="1"/>
  <c r="C3" i="12"/>
  <c r="T3" i="12" s="1"/>
  <c r="B3" i="12"/>
  <c r="S3" i="12" s="1"/>
  <c r="Q2" i="12"/>
  <c r="AH2" i="12" s="1"/>
  <c r="P2" i="12"/>
  <c r="AG2" i="12" s="1"/>
  <c r="O2" i="12"/>
  <c r="AF2" i="12" s="1"/>
  <c r="N2" i="12"/>
  <c r="AE2" i="12" s="1"/>
  <c r="M2" i="12"/>
  <c r="AD2" i="12" s="1"/>
  <c r="L2" i="12"/>
  <c r="K2" i="12"/>
  <c r="AB2" i="12" s="1"/>
  <c r="J2" i="12"/>
  <c r="AA2" i="12" s="1"/>
  <c r="I2" i="12"/>
  <c r="H2" i="12"/>
  <c r="Y2" i="12" s="1"/>
  <c r="G2" i="12"/>
  <c r="X2" i="12" s="1"/>
  <c r="F2" i="12"/>
  <c r="W2" i="12" s="1"/>
  <c r="AQ12" i="12" s="1"/>
  <c r="E2" i="12"/>
  <c r="V2" i="12" s="1"/>
  <c r="D2" i="12"/>
  <c r="U2" i="12" s="1"/>
  <c r="AQ7" i="12" s="1"/>
  <c r="C2" i="12"/>
  <c r="T2" i="12" s="1"/>
  <c r="AQ5" i="12" s="1"/>
  <c r="B2" i="12"/>
  <c r="Q17" i="6"/>
  <c r="P17" i="6"/>
  <c r="O17" i="6"/>
  <c r="AF17" i="6" s="1"/>
  <c r="N17" i="6"/>
  <c r="AE17" i="6" s="1"/>
  <c r="M17" i="6"/>
  <c r="AD17" i="6" s="1"/>
  <c r="L17" i="6"/>
  <c r="AC17" i="6" s="1"/>
  <c r="K17" i="6"/>
  <c r="AB17" i="6" s="1"/>
  <c r="J17" i="6"/>
  <c r="AA17" i="6" s="1"/>
  <c r="I17" i="6"/>
  <c r="Z17" i="6" s="1"/>
  <c r="H17" i="6"/>
  <c r="Y17" i="6" s="1"/>
  <c r="G17" i="6"/>
  <c r="X17" i="6" s="1"/>
  <c r="F17" i="6"/>
  <c r="W17" i="6" s="1"/>
  <c r="E17" i="6"/>
  <c r="V17" i="6" s="1"/>
  <c r="D17" i="6"/>
  <c r="U17" i="6" s="1"/>
  <c r="C17" i="6"/>
  <c r="T17" i="6" s="1"/>
  <c r="B17" i="6"/>
  <c r="S17" i="6" s="1"/>
  <c r="Q16" i="6"/>
  <c r="AH16" i="6" s="1"/>
  <c r="P16" i="6"/>
  <c r="AG16" i="6" s="1"/>
  <c r="O16" i="6"/>
  <c r="AF16" i="6" s="1"/>
  <c r="N16" i="6"/>
  <c r="AE16" i="6" s="1"/>
  <c r="M16" i="6"/>
  <c r="AD16" i="6" s="1"/>
  <c r="L16" i="6"/>
  <c r="AC16" i="6" s="1"/>
  <c r="K16" i="6"/>
  <c r="AB16" i="6" s="1"/>
  <c r="J16" i="6"/>
  <c r="AA16" i="6" s="1"/>
  <c r="I16" i="6"/>
  <c r="Z16" i="6" s="1"/>
  <c r="H16" i="6"/>
  <c r="Y16" i="6" s="1"/>
  <c r="G16" i="6"/>
  <c r="X16" i="6" s="1"/>
  <c r="F16" i="6"/>
  <c r="W16" i="6" s="1"/>
  <c r="E16" i="6"/>
  <c r="V16" i="6" s="1"/>
  <c r="D16" i="6"/>
  <c r="U16" i="6" s="1"/>
  <c r="C16" i="6"/>
  <c r="T16" i="6" s="1"/>
  <c r="B16" i="6"/>
  <c r="S16" i="6" s="1"/>
  <c r="Q15" i="6"/>
  <c r="AH15" i="6" s="1"/>
  <c r="P15" i="6"/>
  <c r="AG15" i="6" s="1"/>
  <c r="O15" i="6"/>
  <c r="AF15" i="6" s="1"/>
  <c r="N15" i="6"/>
  <c r="AE15" i="6" s="1"/>
  <c r="M15" i="6"/>
  <c r="AD15" i="6" s="1"/>
  <c r="L15" i="6"/>
  <c r="AC15" i="6" s="1"/>
  <c r="K15" i="6"/>
  <c r="AB15" i="6" s="1"/>
  <c r="J15" i="6"/>
  <c r="AA15" i="6" s="1"/>
  <c r="I15" i="6"/>
  <c r="Z15" i="6" s="1"/>
  <c r="BZ52" i="6" s="1"/>
  <c r="H15" i="6"/>
  <c r="Y15" i="6" s="1"/>
  <c r="G15" i="6"/>
  <c r="X15" i="6" s="1"/>
  <c r="F15" i="6"/>
  <c r="W15" i="6" s="1"/>
  <c r="BZ40" i="6" s="1"/>
  <c r="E15" i="6"/>
  <c r="V15" i="6" s="1"/>
  <c r="D15" i="6"/>
  <c r="U15" i="6" s="1"/>
  <c r="C15" i="6"/>
  <c r="T15" i="6" s="1"/>
  <c r="B15" i="6"/>
  <c r="S15" i="6" s="1"/>
  <c r="Q14" i="6"/>
  <c r="AH14" i="6" s="1"/>
  <c r="P14" i="6"/>
  <c r="AG14" i="6" s="1"/>
  <c r="O14" i="6"/>
  <c r="AF14" i="6" s="1"/>
  <c r="N14" i="6"/>
  <c r="AE14" i="6" s="1"/>
  <c r="M14" i="6"/>
  <c r="AD14" i="6" s="1"/>
  <c r="L14" i="6"/>
  <c r="AC14" i="6" s="1"/>
  <c r="K14" i="6"/>
  <c r="AB14" i="6" s="1"/>
  <c r="J14" i="6"/>
  <c r="AA14" i="6" s="1"/>
  <c r="I14" i="6"/>
  <c r="Z14" i="6" s="1"/>
  <c r="H14" i="6"/>
  <c r="Y14" i="6" s="1"/>
  <c r="G14" i="6"/>
  <c r="X14" i="6" s="1"/>
  <c r="F14" i="6"/>
  <c r="W14" i="6" s="1"/>
  <c r="E14" i="6"/>
  <c r="V14" i="6" s="1"/>
  <c r="D14" i="6"/>
  <c r="U14" i="6" s="1"/>
  <c r="C14" i="6"/>
  <c r="T14" i="6" s="1"/>
  <c r="B14" i="6"/>
  <c r="S14" i="6" s="1"/>
  <c r="Q13" i="6"/>
  <c r="AH13" i="6" s="1"/>
  <c r="P13" i="6"/>
  <c r="AG13" i="6" s="1"/>
  <c r="O13" i="6"/>
  <c r="AF13" i="6" s="1"/>
  <c r="N13" i="6"/>
  <c r="AE13" i="6" s="1"/>
  <c r="M13" i="6"/>
  <c r="AD13" i="6" s="1"/>
  <c r="L13" i="6"/>
  <c r="AC13" i="6" s="1"/>
  <c r="K13" i="6"/>
  <c r="AB13" i="6" s="1"/>
  <c r="J13" i="6"/>
  <c r="AA13" i="6" s="1"/>
  <c r="I13" i="6"/>
  <c r="Z13" i="6" s="1"/>
  <c r="H13" i="6"/>
  <c r="Y13" i="6" s="1"/>
  <c r="G13" i="6"/>
  <c r="X13" i="6" s="1"/>
  <c r="F13" i="6"/>
  <c r="W13" i="6" s="1"/>
  <c r="E13" i="6"/>
  <c r="V13" i="6" s="1"/>
  <c r="D13" i="6"/>
  <c r="U13" i="6" s="1"/>
  <c r="C13" i="6"/>
  <c r="T13" i="6" s="1"/>
  <c r="B13" i="6"/>
  <c r="S13" i="6" s="1"/>
  <c r="Q12" i="6"/>
  <c r="AH12" i="6" s="1"/>
  <c r="P12" i="6"/>
  <c r="AG12" i="6" s="1"/>
  <c r="O12" i="6"/>
  <c r="AF12" i="6" s="1"/>
  <c r="BZ34" i="6" s="1"/>
  <c r="N12" i="6"/>
  <c r="AE12" i="6" s="1"/>
  <c r="BZ33" i="6" s="1"/>
  <c r="CA33" i="6" s="1"/>
  <c r="M12" i="6"/>
  <c r="AD12" i="6" s="1"/>
  <c r="BZ32" i="6" s="1"/>
  <c r="CA32" i="6" s="1"/>
  <c r="L12" i="6"/>
  <c r="AC12" i="6" s="1"/>
  <c r="BZ31" i="6" s="1"/>
  <c r="CA31" i="6" s="1"/>
  <c r="K12" i="6"/>
  <c r="AB12" i="6" s="1"/>
  <c r="BZ30" i="6" s="1"/>
  <c r="CA30" i="6" s="1"/>
  <c r="J12" i="6"/>
  <c r="AA12" i="6" s="1"/>
  <c r="BZ26" i="6" s="1"/>
  <c r="BZ27" i="6" s="1"/>
  <c r="I12" i="6"/>
  <c r="Z12" i="6" s="1"/>
  <c r="BZ22" i="6" s="1"/>
  <c r="BZ24" i="6" s="1"/>
  <c r="H12" i="6"/>
  <c r="Y12" i="6" s="1"/>
  <c r="BZ20" i="6" s="1"/>
  <c r="G12" i="6"/>
  <c r="X12" i="6" s="1"/>
  <c r="BZ19" i="6" s="1"/>
  <c r="CA19" i="6" s="1"/>
  <c r="F12" i="6"/>
  <c r="W12" i="6" s="1"/>
  <c r="BZ16" i="6" s="1"/>
  <c r="BZ18" i="6" s="1"/>
  <c r="E12" i="6"/>
  <c r="V12" i="6" s="1"/>
  <c r="BZ13" i="6" s="1"/>
  <c r="D12" i="6"/>
  <c r="U12" i="6" s="1"/>
  <c r="BZ11" i="6" s="1"/>
  <c r="BZ12" i="6" s="1"/>
  <c r="CA12" i="6" s="1"/>
  <c r="C12" i="6"/>
  <c r="T12" i="6" s="1"/>
  <c r="BZ8" i="6" s="1"/>
  <c r="BZ10" i="6" s="1"/>
  <c r="CA10" i="6" s="1"/>
  <c r="B12" i="6"/>
  <c r="S12" i="6" s="1"/>
  <c r="BZ5" i="6" s="1"/>
  <c r="BZ7" i="6" s="1"/>
  <c r="CA7" i="6" s="1"/>
  <c r="Q11" i="6"/>
  <c r="AH11" i="6" s="1"/>
  <c r="BT103" i="6" s="1"/>
  <c r="P11" i="6"/>
  <c r="O11" i="6"/>
  <c r="N11" i="6"/>
  <c r="M11" i="6"/>
  <c r="L11" i="6"/>
  <c r="AC11" i="6" s="1"/>
  <c r="K11" i="6"/>
  <c r="AB11" i="6" s="1"/>
  <c r="J11" i="6"/>
  <c r="AA11" i="6" s="1"/>
  <c r="I11" i="6"/>
  <c r="Z11" i="6" s="1"/>
  <c r="H11" i="6"/>
  <c r="Y11" i="6" s="1"/>
  <c r="G11" i="6"/>
  <c r="X11" i="6" s="1"/>
  <c r="F11" i="6"/>
  <c r="W11" i="6" s="1"/>
  <c r="E11" i="6"/>
  <c r="V11" i="6" s="1"/>
  <c r="D11" i="6"/>
  <c r="C11" i="6"/>
  <c r="B11" i="6"/>
  <c r="Q10" i="6"/>
  <c r="AH10" i="6" s="1"/>
  <c r="P10" i="6"/>
  <c r="AG10" i="6" s="1"/>
  <c r="O10" i="6"/>
  <c r="AF10" i="6" s="1"/>
  <c r="N10" i="6"/>
  <c r="AE10" i="6" s="1"/>
  <c r="M10" i="6"/>
  <c r="AD10" i="6" s="1"/>
  <c r="L10" i="6"/>
  <c r="AC10" i="6" s="1"/>
  <c r="K10" i="6"/>
  <c r="AB10" i="6" s="1"/>
  <c r="J10" i="6"/>
  <c r="AA10" i="6" s="1"/>
  <c r="I10" i="6"/>
  <c r="Z10" i="6" s="1"/>
  <c r="BM54" i="6" s="1"/>
  <c r="H10" i="6"/>
  <c r="Y10" i="6" s="1"/>
  <c r="G10" i="6"/>
  <c r="X10" i="6" s="1"/>
  <c r="F10" i="6"/>
  <c r="W10" i="6" s="1"/>
  <c r="BM47" i="6" s="1"/>
  <c r="E10" i="6"/>
  <c r="V10" i="6" s="1"/>
  <c r="D10" i="6"/>
  <c r="U10" i="6" s="1"/>
  <c r="C10" i="6"/>
  <c r="T10" i="6" s="1"/>
  <c r="BM35" i="6" s="1"/>
  <c r="B10" i="6"/>
  <c r="S10" i="6" s="1"/>
  <c r="Q9" i="6"/>
  <c r="AH9" i="6" s="1"/>
  <c r="P9" i="6"/>
  <c r="AG9" i="6" s="1"/>
  <c r="BM23" i="6" s="1"/>
  <c r="O9" i="6"/>
  <c r="AF9" i="6" s="1"/>
  <c r="N9" i="6"/>
  <c r="AE9" i="6" s="1"/>
  <c r="M9" i="6"/>
  <c r="AD9" i="6" s="1"/>
  <c r="BM17" i="6" s="1"/>
  <c r="L9" i="6"/>
  <c r="AC9" i="6" s="1"/>
  <c r="K9" i="6"/>
  <c r="AB9" i="6" s="1"/>
  <c r="J9" i="6"/>
  <c r="AA9" i="6" s="1"/>
  <c r="BM5" i="6" s="1"/>
  <c r="I9" i="6"/>
  <c r="Z9" i="6" s="1"/>
  <c r="H9" i="6"/>
  <c r="Y9" i="6" s="1"/>
  <c r="G9" i="6"/>
  <c r="X9" i="6" s="1"/>
  <c r="F9" i="6"/>
  <c r="W9" i="6" s="1"/>
  <c r="E9" i="6"/>
  <c r="V9" i="6" s="1"/>
  <c r="D9" i="6"/>
  <c r="U9" i="6" s="1"/>
  <c r="C9" i="6"/>
  <c r="T9" i="6" s="1"/>
  <c r="B9" i="6"/>
  <c r="S9" i="6" s="1"/>
  <c r="Q8" i="6"/>
  <c r="AH8" i="6" s="1"/>
  <c r="P8" i="6"/>
  <c r="AG8" i="6" s="1"/>
  <c r="O8" i="6"/>
  <c r="AF8" i="6" s="1"/>
  <c r="N8" i="6"/>
  <c r="AE8" i="6" s="1"/>
  <c r="M8" i="6"/>
  <c r="AD8" i="6" s="1"/>
  <c r="L8" i="6"/>
  <c r="AC8" i="6" s="1"/>
  <c r="BD107" i="6" s="1"/>
  <c r="K8" i="6"/>
  <c r="AB8" i="6" s="1"/>
  <c r="BD98" i="6" s="1"/>
  <c r="J8" i="6"/>
  <c r="AA8" i="6" s="1"/>
  <c r="BD89" i="6" s="1"/>
  <c r="I8" i="6"/>
  <c r="Z8" i="6" s="1"/>
  <c r="BD80" i="6" s="1"/>
  <c r="H8" i="6"/>
  <c r="Y8" i="6" s="1"/>
  <c r="BD71" i="6" s="1"/>
  <c r="G8" i="6"/>
  <c r="X8" i="6" s="1"/>
  <c r="F8" i="6"/>
  <c r="W8" i="6" s="1"/>
  <c r="E8" i="6"/>
  <c r="V8" i="6" s="1"/>
  <c r="D8" i="6"/>
  <c r="U8" i="6" s="1"/>
  <c r="C8" i="6"/>
  <c r="T8" i="6" s="1"/>
  <c r="BD61" i="6" s="1"/>
  <c r="B8" i="6"/>
  <c r="S8" i="6" s="1"/>
  <c r="BD56" i="6" s="1"/>
  <c r="Q7" i="6"/>
  <c r="AH7" i="6" s="1"/>
  <c r="P7" i="6"/>
  <c r="AG7" i="6" s="1"/>
  <c r="O7" i="6"/>
  <c r="AF7" i="6" s="1"/>
  <c r="N7" i="6"/>
  <c r="AE7" i="6" s="1"/>
  <c r="M7" i="6"/>
  <c r="AD7" i="6" s="1"/>
  <c r="L7" i="6"/>
  <c r="AC7" i="6" s="1"/>
  <c r="K7" i="6"/>
  <c r="AB7" i="6" s="1"/>
  <c r="J7" i="6"/>
  <c r="AA7" i="6" s="1"/>
  <c r="I7" i="6"/>
  <c r="Z7" i="6" s="1"/>
  <c r="H7" i="6"/>
  <c r="Y7" i="6" s="1"/>
  <c r="G7" i="6"/>
  <c r="X7" i="6" s="1"/>
  <c r="F7" i="6"/>
  <c r="W7" i="6" s="1"/>
  <c r="E7" i="6"/>
  <c r="V7" i="6" s="1"/>
  <c r="D7" i="6"/>
  <c r="U7" i="6" s="1"/>
  <c r="C7" i="6"/>
  <c r="T7" i="6" s="1"/>
  <c r="BD50" i="6" s="1"/>
  <c r="B7" i="6"/>
  <c r="S7" i="6" s="1"/>
  <c r="BD41" i="6" s="1"/>
  <c r="Q6" i="6"/>
  <c r="AH6" i="6" s="1"/>
  <c r="P6" i="6"/>
  <c r="AG6" i="6" s="1"/>
  <c r="O6" i="6"/>
  <c r="AF6" i="6" s="1"/>
  <c r="N6" i="6"/>
  <c r="AE6" i="6" s="1"/>
  <c r="M6" i="6"/>
  <c r="AD6" i="6" s="1"/>
  <c r="L6" i="6"/>
  <c r="AC6" i="6" s="1"/>
  <c r="K6" i="6"/>
  <c r="AB6" i="6" s="1"/>
  <c r="J6" i="6"/>
  <c r="AA6" i="6" s="1"/>
  <c r="I6" i="6"/>
  <c r="Z6" i="6" s="1"/>
  <c r="H6" i="6"/>
  <c r="Y6" i="6" s="1"/>
  <c r="G6" i="6"/>
  <c r="X6" i="6" s="1"/>
  <c r="F6" i="6"/>
  <c r="W6" i="6" s="1"/>
  <c r="E6" i="6"/>
  <c r="V6" i="6" s="1"/>
  <c r="D6" i="6"/>
  <c r="U6" i="6" s="1"/>
  <c r="C6" i="6"/>
  <c r="T6" i="6" s="1"/>
  <c r="B6" i="6"/>
  <c r="S6" i="6" s="1"/>
  <c r="BD36" i="6" s="1"/>
  <c r="BD37" i="6" s="1"/>
  <c r="Q5" i="6"/>
  <c r="P5" i="6"/>
  <c r="BD9" i="6" s="1"/>
  <c r="BE9" i="6" s="1"/>
  <c r="O5" i="6"/>
  <c r="AF5" i="6" s="1"/>
  <c r="N5" i="6"/>
  <c r="AE5" i="6" s="1"/>
  <c r="M5" i="6"/>
  <c r="AD5" i="6" s="1"/>
  <c r="L5" i="6"/>
  <c r="AC5" i="6" s="1"/>
  <c r="K5" i="6"/>
  <c r="AB5" i="6" s="1"/>
  <c r="J5" i="6"/>
  <c r="AA5" i="6" s="1"/>
  <c r="I5" i="6"/>
  <c r="Z5" i="6" s="1"/>
  <c r="H5" i="6"/>
  <c r="Y5" i="6" s="1"/>
  <c r="G5" i="6"/>
  <c r="X5" i="6" s="1"/>
  <c r="F5" i="6"/>
  <c r="W5" i="6" s="1"/>
  <c r="E5" i="6"/>
  <c r="V5" i="6" s="1"/>
  <c r="D5" i="6"/>
  <c r="U5" i="6" s="1"/>
  <c r="C5" i="6"/>
  <c r="T5" i="6" s="1"/>
  <c r="B5" i="6"/>
  <c r="S5" i="6" s="1"/>
  <c r="Q4" i="6"/>
  <c r="AH4" i="6" s="1"/>
  <c r="P4" i="6"/>
  <c r="AG4" i="6" s="1"/>
  <c r="O4" i="6"/>
  <c r="AF4" i="6" s="1"/>
  <c r="AX55" i="6" s="1"/>
  <c r="N4" i="6"/>
  <c r="AE4" i="6" s="1"/>
  <c r="M4" i="6"/>
  <c r="AD4" i="6" s="1"/>
  <c r="L4" i="6"/>
  <c r="AC4" i="6" s="1"/>
  <c r="K4" i="6"/>
  <c r="AB4" i="6" s="1"/>
  <c r="J4" i="6"/>
  <c r="AA4" i="6" s="1"/>
  <c r="I4" i="6"/>
  <c r="Z4" i="6" s="1"/>
  <c r="H4" i="6"/>
  <c r="Y4" i="6" s="1"/>
  <c r="G4" i="6"/>
  <c r="X4" i="6" s="1"/>
  <c r="AX48" i="6" s="1"/>
  <c r="AX51" i="6" s="1"/>
  <c r="F4" i="6"/>
  <c r="W4" i="6" s="1"/>
  <c r="E4" i="6"/>
  <c r="V4" i="6" s="1"/>
  <c r="D4" i="6"/>
  <c r="U4" i="6" s="1"/>
  <c r="AX40" i="6" s="1"/>
  <c r="AX44" i="6" s="1"/>
  <c r="C4" i="6"/>
  <c r="T4" i="6" s="1"/>
  <c r="AX35" i="6" s="1"/>
  <c r="AX39" i="6" s="1"/>
  <c r="B4" i="6"/>
  <c r="S4" i="6" s="1"/>
  <c r="AX30" i="6" s="1"/>
  <c r="AX34" i="6" s="1"/>
  <c r="Q3" i="6"/>
  <c r="AH3" i="6" s="1"/>
  <c r="AX25" i="6" s="1"/>
  <c r="AX27" i="6" s="1"/>
  <c r="P3" i="6"/>
  <c r="AG3" i="6" s="1"/>
  <c r="AX20" i="6" s="1"/>
  <c r="AX24" i="6" s="1"/>
  <c r="O3" i="6"/>
  <c r="AF3" i="6" s="1"/>
  <c r="AX15" i="6" s="1"/>
  <c r="AX19" i="6" s="1"/>
  <c r="N3" i="6"/>
  <c r="AE3" i="6" s="1"/>
  <c r="AX10" i="6" s="1"/>
  <c r="AX14" i="6" s="1"/>
  <c r="M3" i="6"/>
  <c r="AD3" i="6" s="1"/>
  <c r="AX5" i="6" s="1"/>
  <c r="AX9" i="6" s="1"/>
  <c r="L3" i="6"/>
  <c r="AC3" i="6" s="1"/>
  <c r="K3" i="6"/>
  <c r="AB3" i="6" s="1"/>
  <c r="J3" i="6"/>
  <c r="AA3" i="6" s="1"/>
  <c r="I3" i="6"/>
  <c r="Z3" i="6" s="1"/>
  <c r="H3" i="6"/>
  <c r="Y3" i="6" s="1"/>
  <c r="G3" i="6"/>
  <c r="X3" i="6" s="1"/>
  <c r="AO96" i="6" s="1"/>
  <c r="AO104" i="6" s="1"/>
  <c r="F3" i="6"/>
  <c r="W3" i="6" s="1"/>
  <c r="AO87" i="6" s="1"/>
  <c r="E3" i="6"/>
  <c r="V3" i="6" s="1"/>
  <c r="AO84" i="6" s="1"/>
  <c r="D3" i="6"/>
  <c r="C3" i="6"/>
  <c r="T3" i="6" s="1"/>
  <c r="AO72" i="6" s="1"/>
  <c r="Q2" i="6"/>
  <c r="AH2" i="6" s="1"/>
  <c r="P2" i="6"/>
  <c r="AG2" i="6" s="1"/>
  <c r="O2" i="6"/>
  <c r="AF2" i="6" s="1"/>
  <c r="AO55" i="6" s="1"/>
  <c r="N2" i="6"/>
  <c r="AE2" i="6" s="1"/>
  <c r="M2" i="6"/>
  <c r="AD2" i="6" s="1"/>
  <c r="L2" i="6"/>
  <c r="AC2" i="6" s="1"/>
  <c r="AO44" i="6" s="1"/>
  <c r="K2" i="6"/>
  <c r="AB2" i="6" s="1"/>
  <c r="AO35" i="6" s="1"/>
  <c r="J2" i="6"/>
  <c r="AA2" i="6" s="1"/>
  <c r="I2" i="6"/>
  <c r="Z2" i="6" s="1"/>
  <c r="H2" i="6"/>
  <c r="G2" i="6"/>
  <c r="X2" i="6" s="1"/>
  <c r="F2" i="6"/>
  <c r="E2" i="6"/>
  <c r="V2" i="6" s="1"/>
  <c r="AO16" i="6" s="1"/>
  <c r="D2" i="6"/>
  <c r="U2" i="6" s="1"/>
  <c r="AO13" i="6" s="1"/>
  <c r="C2" i="6"/>
  <c r="AO6" i="6" l="1"/>
  <c r="AP5" i="6"/>
  <c r="AO14" i="6"/>
  <c r="AO15" i="6"/>
  <c r="AO17" i="6"/>
  <c r="AO18" i="6"/>
  <c r="AN8" i="6"/>
  <c r="AN6" i="6"/>
  <c r="AN7" i="6"/>
  <c r="BS66" i="6"/>
  <c r="BZ46" i="6"/>
  <c r="BZ42" i="6"/>
  <c r="BZ44" i="6"/>
  <c r="BZ45" i="6"/>
  <c r="BZ41" i="6"/>
  <c r="BZ43" i="6"/>
  <c r="BZ47" i="6"/>
  <c r="BZ48" i="6"/>
  <c r="BM56" i="6"/>
  <c r="BM55" i="6"/>
  <c r="BZ60" i="6"/>
  <c r="BZ56" i="6"/>
  <c r="BZ59" i="6"/>
  <c r="BZ54" i="6"/>
  <c r="BZ55" i="6"/>
  <c r="BZ57" i="6"/>
  <c r="BZ53" i="6"/>
  <c r="BZ58" i="6"/>
  <c r="BM50" i="6"/>
  <c r="BM49" i="6"/>
  <c r="BM48" i="6"/>
  <c r="BM38" i="6"/>
  <c r="BM43" i="6"/>
  <c r="BM40" i="6"/>
  <c r="BM39" i="6"/>
  <c r="BM36" i="6"/>
  <c r="BM42" i="6"/>
  <c r="BM41" i="6"/>
  <c r="BM37" i="6"/>
  <c r="BM27" i="6"/>
  <c r="BM28" i="6"/>
  <c r="BM31" i="6"/>
  <c r="BM29" i="6"/>
  <c r="BM25" i="6"/>
  <c r="BM26" i="6"/>
  <c r="BM30" i="6"/>
  <c r="BM24" i="6"/>
  <c r="BM18" i="6"/>
  <c r="BM19" i="6"/>
  <c r="BM13" i="6"/>
  <c r="BM8" i="6"/>
  <c r="BM7" i="6"/>
  <c r="BM9" i="6"/>
  <c r="BM12" i="6"/>
  <c r="BM10" i="6"/>
  <c r="BM6" i="6"/>
  <c r="BM11" i="6"/>
  <c r="AD11" i="6"/>
  <c r="BT67" i="6" s="1"/>
  <c r="BT68" i="6" s="1"/>
  <c r="BT31" i="6"/>
  <c r="BT35" i="6" s="1"/>
  <c r="BT49" i="6"/>
  <c r="BT53" i="6" s="1"/>
  <c r="AE11" i="6"/>
  <c r="BT76" i="6" s="1"/>
  <c r="BT79" i="6" s="1"/>
  <c r="AF11" i="6"/>
  <c r="BT85" i="6" s="1"/>
  <c r="BT89" i="6" s="1"/>
  <c r="AG11" i="6"/>
  <c r="BT94" i="6" s="1"/>
  <c r="BT95" i="6" s="1"/>
  <c r="BT40" i="6"/>
  <c r="BT44" i="6" s="1"/>
  <c r="BT58" i="6"/>
  <c r="BT66" i="6" s="1"/>
  <c r="BS90" i="6"/>
  <c r="BS91" i="6"/>
  <c r="BD5" i="6"/>
  <c r="AZ9" i="13"/>
  <c r="AN66" i="13"/>
  <c r="AN65" i="13"/>
  <c r="AN64" i="13"/>
  <c r="AN63" i="13"/>
  <c r="AX25" i="13"/>
  <c r="AX24" i="13"/>
  <c r="AO45" i="13"/>
  <c r="AO41" i="13"/>
  <c r="AO44" i="13"/>
  <c r="AO43" i="13"/>
  <c r="AO42" i="13"/>
  <c r="AO47" i="13"/>
  <c r="AO40" i="13"/>
  <c r="AO46" i="13"/>
  <c r="AO59" i="13"/>
  <c r="AO64" i="13"/>
  <c r="AO66" i="13"/>
  <c r="AP66" i="13" s="1"/>
  <c r="AO60" i="13"/>
  <c r="AO61" i="13"/>
  <c r="AP61" i="13" s="1"/>
  <c r="AO62" i="13"/>
  <c r="AP62" i="13" s="1"/>
  <c r="AO63" i="13"/>
  <c r="AO65" i="13"/>
  <c r="AY28" i="13"/>
  <c r="AY29" i="13"/>
  <c r="AY27" i="13"/>
  <c r="AY40" i="13"/>
  <c r="AZ40" i="13" s="1"/>
  <c r="AY33" i="13"/>
  <c r="AY39" i="13"/>
  <c r="AZ39" i="13" s="1"/>
  <c r="AY38" i="13"/>
  <c r="AZ38" i="13" s="1"/>
  <c r="AY37" i="13"/>
  <c r="AZ37" i="13" s="1"/>
  <c r="AY36" i="13"/>
  <c r="AY35" i="13"/>
  <c r="AY34" i="13"/>
  <c r="AO25" i="13"/>
  <c r="AO22" i="13"/>
  <c r="AO24" i="13"/>
  <c r="AO23" i="13"/>
  <c r="AO28" i="13"/>
  <c r="AO21" i="13"/>
  <c r="AO27" i="13"/>
  <c r="AO26" i="13"/>
  <c r="AO15" i="13"/>
  <c r="AO16" i="13"/>
  <c r="AO14" i="13"/>
  <c r="AO13" i="13"/>
  <c r="AO19" i="13"/>
  <c r="AO12" i="13"/>
  <c r="AO18" i="13"/>
  <c r="AO17" i="13"/>
  <c r="AO72" i="13"/>
  <c r="AO71" i="13"/>
  <c r="AO70" i="13"/>
  <c r="AY18" i="13"/>
  <c r="AZ6" i="13"/>
  <c r="AA17" i="13"/>
  <c r="AA7" i="13"/>
  <c r="AY22" i="13"/>
  <c r="AY23" i="13"/>
  <c r="AY24" i="13"/>
  <c r="AY25" i="13"/>
  <c r="AY26" i="13"/>
  <c r="AY41" i="13"/>
  <c r="E34" i="11"/>
  <c r="AO13" i="18"/>
  <c r="AO12" i="18"/>
  <c r="AZ5" i="13"/>
  <c r="AY15" i="13"/>
  <c r="AY17" i="13"/>
  <c r="AY14" i="13"/>
  <c r="AY16" i="13"/>
  <c r="BS65" i="6"/>
  <c r="BS68" i="6"/>
  <c r="BS69" i="6"/>
  <c r="BS72" i="6"/>
  <c r="BC66" i="6"/>
  <c r="BC63" i="6"/>
  <c r="BC99" i="6"/>
  <c r="BC91" i="6"/>
  <c r="BS70" i="6"/>
  <c r="BC94" i="6"/>
  <c r="BC62" i="6"/>
  <c r="BC102" i="6"/>
  <c r="BC104" i="6"/>
  <c r="BS104" i="6"/>
  <c r="BS74" i="6"/>
  <c r="BC68" i="6"/>
  <c r="BC64" i="6"/>
  <c r="BC52" i="6"/>
  <c r="BC76" i="6"/>
  <c r="BC106" i="6"/>
  <c r="BS111" i="6"/>
  <c r="BS59" i="6"/>
  <c r="AW7" i="6"/>
  <c r="BC75" i="6"/>
  <c r="BC110" i="6"/>
  <c r="BS86" i="6"/>
  <c r="BS60" i="6"/>
  <c r="BC73" i="6"/>
  <c r="BC112" i="6"/>
  <c r="BS88" i="6"/>
  <c r="BS63" i="6"/>
  <c r="BC67" i="6"/>
  <c r="BC72" i="6"/>
  <c r="BC114" i="6"/>
  <c r="BS89" i="6"/>
  <c r="BS64" i="6"/>
  <c r="BD83" i="6"/>
  <c r="BD82" i="6"/>
  <c r="BD88" i="6"/>
  <c r="BD81" i="6"/>
  <c r="BD87" i="6"/>
  <c r="BD86" i="6"/>
  <c r="BD85" i="6"/>
  <c r="BD84" i="6"/>
  <c r="BT106" i="6"/>
  <c r="BT105" i="6"/>
  <c r="BT111" i="6"/>
  <c r="BT104" i="6"/>
  <c r="BT110" i="6"/>
  <c r="BT107" i="6"/>
  <c r="BT109" i="6"/>
  <c r="BT108" i="6"/>
  <c r="BD97" i="6"/>
  <c r="BD90" i="6"/>
  <c r="BD96" i="6"/>
  <c r="BD95" i="6"/>
  <c r="BD94" i="6"/>
  <c r="BD93" i="6"/>
  <c r="BD92" i="6"/>
  <c r="BD91" i="6"/>
  <c r="BD105" i="6"/>
  <c r="BD104" i="6"/>
  <c r="BD103" i="6"/>
  <c r="BD102" i="6"/>
  <c r="BD101" i="6"/>
  <c r="BD100" i="6"/>
  <c r="BD106" i="6"/>
  <c r="BD99" i="6"/>
  <c r="AX57" i="6"/>
  <c r="AX56" i="6"/>
  <c r="BD113" i="6"/>
  <c r="BD112" i="6"/>
  <c r="BD111" i="6"/>
  <c r="BD110" i="6"/>
  <c r="BD109" i="6"/>
  <c r="BD115" i="6"/>
  <c r="BD108" i="6"/>
  <c r="BD114" i="6"/>
  <c r="BS108" i="6"/>
  <c r="AX58" i="6"/>
  <c r="BC85" i="6"/>
  <c r="BC92" i="6"/>
  <c r="BC100" i="6"/>
  <c r="BC108" i="6"/>
  <c r="BC115" i="6"/>
  <c r="BC79" i="6"/>
  <c r="D27" i="11"/>
  <c r="E27" i="11" s="1"/>
  <c r="BS109" i="6"/>
  <c r="BS92" i="6"/>
  <c r="BS61" i="6"/>
  <c r="BC84" i="6"/>
  <c r="BC78" i="6"/>
  <c r="BC86" i="6"/>
  <c r="BC93" i="6"/>
  <c r="BC101" i="6"/>
  <c r="BC109" i="6"/>
  <c r="BS93" i="6"/>
  <c r="BS71" i="6"/>
  <c r="BC59" i="6"/>
  <c r="BC77" i="6"/>
  <c r="BS110" i="6"/>
  <c r="BC58" i="6"/>
  <c r="BC87" i="6"/>
  <c r="BC69" i="6"/>
  <c r="BC81" i="6"/>
  <c r="BC88" i="6"/>
  <c r="BC95" i="6"/>
  <c r="BC103" i="6"/>
  <c r="BC111" i="6"/>
  <c r="BS73" i="6"/>
  <c r="BS105" i="6"/>
  <c r="BC82" i="6"/>
  <c r="BC96" i="6"/>
  <c r="AW56" i="6"/>
  <c r="BS106" i="6"/>
  <c r="BC90" i="6"/>
  <c r="BN27" i="12"/>
  <c r="BN26" i="12"/>
  <c r="BN25" i="12"/>
  <c r="BN32" i="12"/>
  <c r="BN31" i="12"/>
  <c r="BN29" i="12"/>
  <c r="BN30" i="12"/>
  <c r="BN28" i="12"/>
  <c r="BN7" i="12"/>
  <c r="AQ6" i="12"/>
  <c r="BN8" i="12"/>
  <c r="BM25" i="12"/>
  <c r="BM26" i="12"/>
  <c r="BM27" i="12"/>
  <c r="BN15" i="12"/>
  <c r="BM28" i="12"/>
  <c r="BM16" i="12"/>
  <c r="BM29" i="12"/>
  <c r="BN16" i="12"/>
  <c r="BM30" i="12"/>
  <c r="BM5" i="12"/>
  <c r="BM31" i="12"/>
  <c r="BN5" i="12"/>
  <c r="BN17" i="12"/>
  <c r="BM6" i="12"/>
  <c r="AW50" i="6"/>
  <c r="AX50" i="6"/>
  <c r="AW49" i="6"/>
  <c r="AX49" i="6"/>
  <c r="AY12" i="13"/>
  <c r="AZ12" i="13" s="1"/>
  <c r="AP65" i="13"/>
  <c r="C12" i="11"/>
  <c r="D12" i="11"/>
  <c r="D38" i="11"/>
  <c r="E38" i="11" s="1"/>
  <c r="BS99" i="6"/>
  <c r="BS101" i="6"/>
  <c r="BS102" i="6"/>
  <c r="BS100" i="6"/>
  <c r="BS95" i="6"/>
  <c r="BS96" i="6"/>
  <c r="BS97" i="6"/>
  <c r="BS81" i="6"/>
  <c r="BS83" i="6"/>
  <c r="BS84" i="6"/>
  <c r="BS78" i="6"/>
  <c r="BS79" i="6"/>
  <c r="BS82" i="6"/>
  <c r="BS77" i="6"/>
  <c r="AO8" i="13"/>
  <c r="AO7" i="13"/>
  <c r="AO33" i="13"/>
  <c r="AO32" i="13"/>
  <c r="AO31" i="13"/>
  <c r="AB3" i="13"/>
  <c r="AO34" i="13"/>
  <c r="AP34" i="13" s="1"/>
  <c r="AC3" i="13"/>
  <c r="AO35" i="13"/>
  <c r="AD3" i="13"/>
  <c r="AA12" i="13"/>
  <c r="AO6" i="13"/>
  <c r="AP6" i="13" s="1"/>
  <c r="AO5" i="13"/>
  <c r="AP5" i="13" s="1"/>
  <c r="Y12" i="13"/>
  <c r="AY4" i="13" s="1"/>
  <c r="Z12" i="13"/>
  <c r="AF17" i="13"/>
  <c r="AG17" i="13"/>
  <c r="AH17" i="13"/>
  <c r="BD57" i="6"/>
  <c r="BD58" i="6"/>
  <c r="BD59" i="6"/>
  <c r="BD62" i="6"/>
  <c r="BD63" i="6"/>
  <c r="BD64" i="6"/>
  <c r="BD65" i="6"/>
  <c r="BD66" i="6"/>
  <c r="BD67" i="6"/>
  <c r="BD68" i="6"/>
  <c r="BD69" i="6"/>
  <c r="BD72" i="6"/>
  <c r="BD73" i="6"/>
  <c r="BD74" i="6"/>
  <c r="BD75" i="6"/>
  <c r="BD76" i="6"/>
  <c r="BD77" i="6"/>
  <c r="BD78" i="6"/>
  <c r="BD79" i="6"/>
  <c r="D40" i="11"/>
  <c r="E40" i="11" s="1"/>
  <c r="BD42" i="6"/>
  <c r="BD43" i="6"/>
  <c r="BD44" i="6"/>
  <c r="BD45" i="6"/>
  <c r="BC43" i="6"/>
  <c r="BC42" i="6"/>
  <c r="BC44" i="6"/>
  <c r="BC45" i="6"/>
  <c r="BD49" i="6"/>
  <c r="BD48" i="6"/>
  <c r="BD47" i="6"/>
  <c r="BD46" i="6"/>
  <c r="BD51" i="6"/>
  <c r="BD52" i="6"/>
  <c r="BC49" i="6"/>
  <c r="BC48" i="6"/>
  <c r="BC47" i="6"/>
  <c r="BC46" i="6"/>
  <c r="C6" i="11"/>
  <c r="E6" i="11" s="1"/>
  <c r="AP17" i="6"/>
  <c r="AG5" i="6"/>
  <c r="BD10" i="6" s="1"/>
  <c r="D46" i="11"/>
  <c r="AH5" i="6"/>
  <c r="C45" i="11"/>
  <c r="C44" i="11"/>
  <c r="C43" i="11"/>
  <c r="AG17" i="6"/>
  <c r="C14" i="11"/>
  <c r="AH17" i="6"/>
  <c r="D14" i="11"/>
  <c r="AI31" i="18"/>
  <c r="AI30" i="18"/>
  <c r="AI29" i="18"/>
  <c r="AI28" i="18"/>
  <c r="AI27" i="18"/>
  <c r="AI26" i="18"/>
  <c r="AI25" i="18"/>
  <c r="AI24" i="18"/>
  <c r="AH30" i="18"/>
  <c r="AH31" i="18"/>
  <c r="AH29" i="18"/>
  <c r="AH28" i="18"/>
  <c r="AH27" i="18"/>
  <c r="AH26" i="18"/>
  <c r="AH25" i="18"/>
  <c r="AH24" i="18"/>
  <c r="BM60" i="12"/>
  <c r="BM59" i="12"/>
  <c r="BM58" i="12"/>
  <c r="BM57" i="12"/>
  <c r="BM56" i="12"/>
  <c r="BM55" i="12"/>
  <c r="BM54" i="12"/>
  <c r="BM53" i="12"/>
  <c r="BN60" i="12"/>
  <c r="BN59" i="12"/>
  <c r="BN58" i="12"/>
  <c r="BN57" i="12"/>
  <c r="BN56" i="12"/>
  <c r="BN55" i="12"/>
  <c r="BN54" i="12"/>
  <c r="BN53" i="12"/>
  <c r="BM46" i="12"/>
  <c r="BM45" i="12"/>
  <c r="BM44" i="12"/>
  <c r="BM43" i="12"/>
  <c r="BM42" i="12"/>
  <c r="BM41" i="12"/>
  <c r="BM40" i="12"/>
  <c r="BM39" i="12"/>
  <c r="BN46" i="12"/>
  <c r="BN45" i="12"/>
  <c r="BN44" i="12"/>
  <c r="BN43" i="12"/>
  <c r="BN42" i="12"/>
  <c r="BN41" i="12"/>
  <c r="BN40" i="12"/>
  <c r="BN39" i="12"/>
  <c r="BC131" i="12"/>
  <c r="BC130" i="12"/>
  <c r="BC129" i="12"/>
  <c r="BC128" i="12"/>
  <c r="BD131" i="12"/>
  <c r="BD130" i="12"/>
  <c r="BD129" i="12"/>
  <c r="BD128" i="12"/>
  <c r="BD111" i="12"/>
  <c r="BD110" i="12"/>
  <c r="BD109" i="12"/>
  <c r="BD108" i="12"/>
  <c r="BC111" i="12"/>
  <c r="BC110" i="12"/>
  <c r="BC109" i="12"/>
  <c r="BC108" i="12"/>
  <c r="BC121" i="12"/>
  <c r="BC120" i="12"/>
  <c r="BC119" i="12"/>
  <c r="BC118" i="12"/>
  <c r="BD8" i="12"/>
  <c r="BD7" i="12"/>
  <c r="BC7" i="12"/>
  <c r="BC8" i="12"/>
  <c r="BC6" i="12"/>
  <c r="BC107" i="12"/>
  <c r="BC106" i="12"/>
  <c r="BC105" i="12"/>
  <c r="BC104" i="12"/>
  <c r="BD107" i="12"/>
  <c r="BD106" i="12"/>
  <c r="BD105" i="12"/>
  <c r="BD104" i="12"/>
  <c r="BC97" i="12"/>
  <c r="BC96" i="12"/>
  <c r="BC95" i="12"/>
  <c r="BC94" i="12"/>
  <c r="BD97" i="12"/>
  <c r="BD96" i="12"/>
  <c r="BD95" i="12"/>
  <c r="BD94" i="12"/>
  <c r="BC87" i="12"/>
  <c r="BC86" i="12"/>
  <c r="BC85" i="12"/>
  <c r="BC84" i="12"/>
  <c r="BD87" i="12"/>
  <c r="BD86" i="12"/>
  <c r="BD85" i="12"/>
  <c r="BD84" i="12"/>
  <c r="BC77" i="12"/>
  <c r="BC76" i="12"/>
  <c r="BC75" i="12"/>
  <c r="BC74" i="12"/>
  <c r="BD77" i="12"/>
  <c r="BD76" i="12"/>
  <c r="BD75" i="12"/>
  <c r="BD74" i="12"/>
  <c r="BC67" i="12"/>
  <c r="BC66" i="12"/>
  <c r="BC65" i="12"/>
  <c r="BC64" i="12"/>
  <c r="BD67" i="12"/>
  <c r="BD66" i="12"/>
  <c r="BD65" i="12"/>
  <c r="BD64" i="12"/>
  <c r="BC57" i="12"/>
  <c r="BC56" i="12"/>
  <c r="BC55" i="12"/>
  <c r="BC54" i="12"/>
  <c r="BD57" i="12"/>
  <c r="BD56" i="12"/>
  <c r="BD55" i="12"/>
  <c r="BD54" i="12"/>
  <c r="BC47" i="12"/>
  <c r="BC46" i="12"/>
  <c r="BC45" i="12"/>
  <c r="BC44" i="12"/>
  <c r="BD47" i="12"/>
  <c r="BD46" i="12"/>
  <c r="BD45" i="12"/>
  <c r="BD44" i="12"/>
  <c r="BC38" i="12"/>
  <c r="BC37" i="12"/>
  <c r="BC36" i="12"/>
  <c r="BC35" i="12"/>
  <c r="BD38" i="12"/>
  <c r="BD37" i="12"/>
  <c r="BD36" i="12"/>
  <c r="BD35" i="12"/>
  <c r="BC28" i="12"/>
  <c r="BC27" i="12"/>
  <c r="BC26" i="12"/>
  <c r="BC25" i="12"/>
  <c r="BD28" i="12"/>
  <c r="BD27" i="12"/>
  <c r="BD26" i="12"/>
  <c r="BD25" i="12"/>
  <c r="BC18" i="12"/>
  <c r="BC17" i="12"/>
  <c r="BC16" i="12"/>
  <c r="BC15" i="12"/>
  <c r="BD18" i="12"/>
  <c r="BD17" i="12"/>
  <c r="BD16" i="12"/>
  <c r="BD15" i="12"/>
  <c r="AQ11" i="12"/>
  <c r="AR11" i="12" s="1"/>
  <c r="AQ10" i="12"/>
  <c r="AR10" i="12" s="1"/>
  <c r="AQ9" i="12"/>
  <c r="AQ27" i="12"/>
  <c r="BD117" i="12" s="1"/>
  <c r="AQ8" i="12"/>
  <c r="AQ37" i="12"/>
  <c r="D30" i="11" s="1"/>
  <c r="E30" i="11" s="1"/>
  <c r="AQ36" i="12"/>
  <c r="D29" i="11" s="1"/>
  <c r="E29" i="11" s="1"/>
  <c r="Y12" i="12"/>
  <c r="AQ38" i="12"/>
  <c r="Z12" i="12"/>
  <c r="AQ39" i="12"/>
  <c r="AQ41" i="12"/>
  <c r="AQ40" i="12"/>
  <c r="AQ45" i="12"/>
  <c r="AQ44" i="12"/>
  <c r="AF17" i="12"/>
  <c r="AQ47" i="12"/>
  <c r="AG17" i="12"/>
  <c r="AQ48" i="12"/>
  <c r="C15" i="11" s="1"/>
  <c r="AH17" i="12"/>
  <c r="AQ49" i="12"/>
  <c r="D15" i="11" s="1"/>
  <c r="BC5" i="12"/>
  <c r="BD6" i="12"/>
  <c r="BD5" i="12"/>
  <c r="AW26" i="6"/>
  <c r="AW9" i="6"/>
  <c r="BZ25" i="6"/>
  <c r="AW27" i="6"/>
  <c r="AX26" i="6"/>
  <c r="AW41" i="6"/>
  <c r="AX41" i="6"/>
  <c r="AW42" i="6"/>
  <c r="AX42" i="6"/>
  <c r="AW43" i="6"/>
  <c r="AX43" i="6"/>
  <c r="AW31" i="6"/>
  <c r="AW32" i="6"/>
  <c r="AX29" i="6"/>
  <c r="AW36" i="6"/>
  <c r="AX36" i="6"/>
  <c r="AW37" i="6"/>
  <c r="AX37" i="6"/>
  <c r="AW38" i="6"/>
  <c r="AX38" i="6"/>
  <c r="AX31" i="6"/>
  <c r="AX32" i="6"/>
  <c r="AW33" i="6"/>
  <c r="AX33" i="6"/>
  <c r="AX28" i="6"/>
  <c r="AW28" i="6"/>
  <c r="AX22" i="6"/>
  <c r="AW23" i="6"/>
  <c r="AX23" i="6"/>
  <c r="AW21" i="6"/>
  <c r="AX21" i="6"/>
  <c r="AW22" i="6"/>
  <c r="AW16" i="6"/>
  <c r="AX16" i="6"/>
  <c r="AW17" i="6"/>
  <c r="AX17" i="6"/>
  <c r="AW18" i="6"/>
  <c r="AX18" i="6"/>
  <c r="AX12" i="6"/>
  <c r="AW13" i="6"/>
  <c r="AX13" i="6"/>
  <c r="AW11" i="6"/>
  <c r="AX11" i="6"/>
  <c r="AW12" i="6"/>
  <c r="AW6" i="6"/>
  <c r="AX6" i="6"/>
  <c r="AX7" i="6"/>
  <c r="AX8" i="6"/>
  <c r="BZ23" i="6"/>
  <c r="AO93" i="6"/>
  <c r="AO94" i="6"/>
  <c r="AO89" i="6"/>
  <c r="AO88" i="6"/>
  <c r="AO92" i="6"/>
  <c r="AO95" i="6"/>
  <c r="AO90" i="6"/>
  <c r="AO91" i="6"/>
  <c r="AO100" i="6"/>
  <c r="AO101" i="6"/>
  <c r="AO97" i="6"/>
  <c r="AO98" i="6"/>
  <c r="AO99" i="6"/>
  <c r="AO102" i="6"/>
  <c r="AO103" i="6"/>
  <c r="BZ28" i="6"/>
  <c r="D26" i="11" s="1"/>
  <c r="E26" i="11" s="1"/>
  <c r="BZ29" i="6"/>
  <c r="BZ36" i="6"/>
  <c r="BZ35" i="6"/>
  <c r="BZ17" i="6"/>
  <c r="BZ15" i="6"/>
  <c r="CA15" i="6" s="1"/>
  <c r="BZ14" i="6"/>
  <c r="CA14" i="6" s="1"/>
  <c r="BZ66" i="6"/>
  <c r="BZ64" i="6"/>
  <c r="BZ65" i="6"/>
  <c r="Z2" i="12"/>
  <c r="S6" i="12"/>
  <c r="AC2" i="12"/>
  <c r="S2" i="12"/>
  <c r="W17" i="12"/>
  <c r="Y17" i="12"/>
  <c r="BK128" i="18"/>
  <c r="BK129" i="18"/>
  <c r="BK130" i="18"/>
  <c r="BL130" i="18"/>
  <c r="BL129" i="18"/>
  <c r="BL128" i="18"/>
  <c r="BL127" i="18"/>
  <c r="BA5" i="18"/>
  <c r="BA7" i="18"/>
  <c r="BK75" i="18"/>
  <c r="BK78" i="18"/>
  <c r="BA6" i="18"/>
  <c r="BA9" i="18"/>
  <c r="BK77" i="18"/>
  <c r="BA8" i="18"/>
  <c r="BA11" i="18"/>
  <c r="BK120" i="18"/>
  <c r="BK119" i="18"/>
  <c r="BK118" i="18"/>
  <c r="BK117" i="18"/>
  <c r="BK116" i="18"/>
  <c r="BK115" i="18"/>
  <c r="BK114" i="18"/>
  <c r="BK113" i="18"/>
  <c r="BK106" i="18"/>
  <c r="BK105" i="18"/>
  <c r="BK104" i="18"/>
  <c r="BK103" i="18"/>
  <c r="BK102" i="18"/>
  <c r="BK101" i="18"/>
  <c r="BK100" i="18"/>
  <c r="BK99" i="18"/>
  <c r="BK92" i="18"/>
  <c r="BK91" i="18"/>
  <c r="BK90" i="18"/>
  <c r="BK89" i="18"/>
  <c r="BK88" i="18"/>
  <c r="BK87" i="18"/>
  <c r="BK86" i="18"/>
  <c r="BK85" i="18"/>
  <c r="BB129" i="18"/>
  <c r="BB128" i="18"/>
  <c r="BB127" i="18"/>
  <c r="BB126" i="18"/>
  <c r="BA129" i="18"/>
  <c r="BA128" i="18"/>
  <c r="BA127" i="18"/>
  <c r="BA126" i="18"/>
  <c r="BK68" i="18"/>
  <c r="BK67" i="18"/>
  <c r="BK66" i="18"/>
  <c r="BK65" i="18"/>
  <c r="BK64" i="18"/>
  <c r="BK63" i="18"/>
  <c r="BK62" i="18"/>
  <c r="BK61" i="18"/>
  <c r="BK54" i="18"/>
  <c r="BK53" i="18"/>
  <c r="BK52" i="18"/>
  <c r="BK51" i="18"/>
  <c r="BK50" i="18"/>
  <c r="BK49" i="18"/>
  <c r="BK48" i="18"/>
  <c r="BK47" i="18"/>
  <c r="BK40" i="18"/>
  <c r="BK39" i="18"/>
  <c r="BK38" i="18"/>
  <c r="BK37" i="18"/>
  <c r="BK36" i="18"/>
  <c r="BK35" i="18"/>
  <c r="BK34" i="18"/>
  <c r="BK33" i="18"/>
  <c r="BK26" i="18"/>
  <c r="BK25" i="18"/>
  <c r="BK24" i="18"/>
  <c r="BK23" i="18"/>
  <c r="BK22" i="18"/>
  <c r="BK21" i="18"/>
  <c r="BK20" i="18"/>
  <c r="BK19" i="18"/>
  <c r="BK12" i="18"/>
  <c r="BK11" i="18"/>
  <c r="BK10" i="18"/>
  <c r="BK9" i="18"/>
  <c r="BK7" i="18"/>
  <c r="BK8" i="18"/>
  <c r="BK6" i="18"/>
  <c r="BK5" i="18"/>
  <c r="BZ9" i="6"/>
  <c r="CA9" i="6" s="1"/>
  <c r="BA35" i="18"/>
  <c r="BA37" i="18"/>
  <c r="BA36" i="18"/>
  <c r="BA34" i="18"/>
  <c r="BA33" i="18"/>
  <c r="BA32" i="18"/>
  <c r="BA49" i="18"/>
  <c r="BA48" i="18"/>
  <c r="BA47" i="18"/>
  <c r="BA46" i="18"/>
  <c r="BA45" i="18"/>
  <c r="BA58" i="18"/>
  <c r="BA57" i="18"/>
  <c r="BA119" i="18"/>
  <c r="BA118" i="18"/>
  <c r="BA117" i="18"/>
  <c r="BA116" i="18"/>
  <c r="BA115" i="18"/>
  <c r="BA114" i="18"/>
  <c r="BA113" i="18"/>
  <c r="BA112" i="18"/>
  <c r="BA105" i="18"/>
  <c r="BA104" i="18"/>
  <c r="BA103" i="18"/>
  <c r="BA102" i="18"/>
  <c r="BA101" i="18"/>
  <c r="BA100" i="18"/>
  <c r="BA99" i="18"/>
  <c r="BA98" i="18"/>
  <c r="BA91" i="18"/>
  <c r="BA90" i="18"/>
  <c r="BA89" i="18"/>
  <c r="BA88" i="18"/>
  <c r="BA87" i="18"/>
  <c r="BA86" i="18"/>
  <c r="BA85" i="18"/>
  <c r="BA84" i="18"/>
  <c r="BA77" i="18"/>
  <c r="BA76" i="18"/>
  <c r="BA75" i="18"/>
  <c r="BA74" i="18"/>
  <c r="BA73" i="18"/>
  <c r="BA72" i="18"/>
  <c r="BA71" i="18"/>
  <c r="BA70" i="18"/>
  <c r="BA63" i="18"/>
  <c r="BA62" i="18"/>
  <c r="BA61" i="18"/>
  <c r="BA60" i="18"/>
  <c r="BA59" i="18"/>
  <c r="BA56" i="18"/>
  <c r="T2" i="18"/>
  <c r="AO8" i="18"/>
  <c r="AO11" i="18"/>
  <c r="AO10" i="18"/>
  <c r="Y2" i="18"/>
  <c r="AO14" i="18"/>
  <c r="AO23" i="18"/>
  <c r="AP23" i="18" s="1"/>
  <c r="AO22" i="18"/>
  <c r="T3" i="18"/>
  <c r="AO26" i="18" s="1"/>
  <c r="BB17" i="18" s="1"/>
  <c r="BB20" i="18" s="1"/>
  <c r="Z3" i="18"/>
  <c r="AO32" i="18" s="1"/>
  <c r="BB97" i="18" s="1"/>
  <c r="T4" i="18"/>
  <c r="AO37" i="18" s="1"/>
  <c r="BL18" i="18" s="1"/>
  <c r="U4" i="18"/>
  <c r="AO38" i="18" s="1"/>
  <c r="BL32" i="18" s="1"/>
  <c r="V4" i="18"/>
  <c r="AO39" i="18" s="1"/>
  <c r="BL46" i="18" s="1"/>
  <c r="X4" i="18"/>
  <c r="AO41" i="18" s="1"/>
  <c r="BL74" i="18" s="1"/>
  <c r="U5" i="18"/>
  <c r="AO46" i="18" s="1"/>
  <c r="BL112" i="18" s="1"/>
  <c r="BL117" i="18" s="1"/>
  <c r="S6" i="18"/>
  <c r="AO51" i="18"/>
  <c r="T6" i="18"/>
  <c r="BA44" i="18"/>
  <c r="T2" i="6"/>
  <c r="W2" i="6"/>
  <c r="AO19" i="6" s="1"/>
  <c r="Y2" i="6"/>
  <c r="AO28" i="6" s="1"/>
  <c r="AO36" i="6"/>
  <c r="AO39" i="6"/>
  <c r="AO40" i="6"/>
  <c r="AO41" i="6"/>
  <c r="AO42" i="6"/>
  <c r="AO43" i="6"/>
  <c r="AO46" i="6"/>
  <c r="AO45" i="6"/>
  <c r="AO51" i="6"/>
  <c r="AO50" i="6"/>
  <c r="AO49" i="6"/>
  <c r="AO48" i="6"/>
  <c r="AO47" i="6"/>
  <c r="AO57" i="6"/>
  <c r="AO56" i="6"/>
  <c r="AO59" i="6"/>
  <c r="AO74" i="6"/>
  <c r="AO73" i="6"/>
  <c r="U3" i="6"/>
  <c r="AO75" i="6" s="1"/>
  <c r="AO86" i="6"/>
  <c r="AO85" i="6"/>
  <c r="S11" i="6"/>
  <c r="BT5" i="6" s="1"/>
  <c r="T11" i="6"/>
  <c r="U11" i="6"/>
  <c r="AO71" i="6"/>
  <c r="AO66" i="6"/>
  <c r="AO65" i="6"/>
  <c r="AO64" i="6"/>
  <c r="BA31" i="18"/>
  <c r="AO67" i="6"/>
  <c r="AO68" i="6"/>
  <c r="AO69" i="6"/>
  <c r="AO70" i="6"/>
  <c r="AO61" i="6"/>
  <c r="AO58" i="6"/>
  <c r="AO60" i="6"/>
  <c r="AO40" i="18"/>
  <c r="BL60" i="18" s="1"/>
  <c r="AO43" i="18"/>
  <c r="BL84" i="18" s="1"/>
  <c r="BL85" i="18" s="1"/>
  <c r="AO44" i="18"/>
  <c r="BL98" i="18" s="1"/>
  <c r="BL106" i="18" s="1"/>
  <c r="AO36" i="18"/>
  <c r="BL4" i="18" s="1"/>
  <c r="AO33" i="18"/>
  <c r="BB111" i="18" s="1"/>
  <c r="AO27" i="18"/>
  <c r="BB30" i="18" s="1"/>
  <c r="AO29" i="18"/>
  <c r="BB55" i="18" s="1"/>
  <c r="AO31" i="18"/>
  <c r="BB83" i="18" s="1"/>
  <c r="AO30" i="18"/>
  <c r="BB69" i="18" s="1"/>
  <c r="AO25" i="6"/>
  <c r="BZ6" i="6"/>
  <c r="BA24" i="18"/>
  <c r="BA23" i="18"/>
  <c r="BA22" i="18"/>
  <c r="BA21" i="18"/>
  <c r="BA20" i="18"/>
  <c r="BA19" i="18"/>
  <c r="BA18" i="18"/>
  <c r="AO25" i="18"/>
  <c r="BB4" i="18" s="1"/>
  <c r="AO28" i="18"/>
  <c r="BB43" i="18" s="1"/>
  <c r="AO53" i="18"/>
  <c r="AO54" i="18"/>
  <c r="AO55" i="18"/>
  <c r="AO56" i="18"/>
  <c r="AO57" i="18"/>
  <c r="AO58" i="18"/>
  <c r="AO30" i="6"/>
  <c r="AO31" i="6" s="1"/>
  <c r="AP31" i="6" s="1"/>
  <c r="AO38" i="6"/>
  <c r="AO37" i="6"/>
  <c r="AO6" i="18"/>
  <c r="AO5" i="18"/>
  <c r="C13" i="11" s="1"/>
  <c r="AO9" i="18"/>
  <c r="AO15" i="18"/>
  <c r="AO16" i="18"/>
  <c r="AO17" i="18"/>
  <c r="AO19" i="18"/>
  <c r="D37" i="11" s="1"/>
  <c r="E37" i="11" s="1"/>
  <c r="AO8" i="6"/>
  <c r="C9" i="11" s="1"/>
  <c r="E9" i="11" s="1"/>
  <c r="AO7" i="6"/>
  <c r="AZ14" i="13" a="1"/>
  <c r="AZ18" i="13" a="1"/>
  <c r="AZ17" i="13" a="1"/>
  <c r="AZ15" i="13" a="1"/>
  <c r="AZ16" i="13" a="1"/>
  <c r="AO20" i="6" l="1"/>
  <c r="AO21" i="6"/>
  <c r="AO9" i="6"/>
  <c r="AO11" i="6" s="1"/>
  <c r="AN9" i="6"/>
  <c r="D31" i="11"/>
  <c r="E31" i="11" s="1"/>
  <c r="AR38" i="12"/>
  <c r="BT33" i="6"/>
  <c r="BT38" i="6"/>
  <c r="BT32" i="6"/>
  <c r="BT57" i="6"/>
  <c r="BT52" i="6"/>
  <c r="BT37" i="6"/>
  <c r="BT34" i="6"/>
  <c r="BT55" i="6"/>
  <c r="BT41" i="6"/>
  <c r="BT59" i="6"/>
  <c r="BT56" i="6"/>
  <c r="BT61" i="6"/>
  <c r="BT60" i="6"/>
  <c r="BT81" i="6"/>
  <c r="BT77" i="6"/>
  <c r="BT74" i="6"/>
  <c r="BT51" i="6"/>
  <c r="BT71" i="6"/>
  <c r="BT73" i="6"/>
  <c r="BT82" i="6"/>
  <c r="BT69" i="6"/>
  <c r="BT91" i="6"/>
  <c r="BT101" i="6"/>
  <c r="BT54" i="6"/>
  <c r="BT80" i="6"/>
  <c r="BT72" i="6"/>
  <c r="BT50" i="6"/>
  <c r="BT70" i="6"/>
  <c r="BT75" i="6"/>
  <c r="BT39" i="6"/>
  <c r="BT14" i="6"/>
  <c r="BT22" i="6" s="1"/>
  <c r="BT62" i="6"/>
  <c r="BT90" i="6"/>
  <c r="BT100" i="6"/>
  <c r="BT99" i="6"/>
  <c r="BT83" i="6"/>
  <c r="BT64" i="6"/>
  <c r="BT96" i="6"/>
  <c r="BT63" i="6"/>
  <c r="BT84" i="6"/>
  <c r="BT97" i="6"/>
  <c r="BT92" i="6"/>
  <c r="BT102" i="6"/>
  <c r="BT48" i="6"/>
  <c r="BT42" i="6"/>
  <c r="BT43" i="6"/>
  <c r="BT45" i="6"/>
  <c r="BT88" i="6"/>
  <c r="BT46" i="6"/>
  <c r="BT98" i="6"/>
  <c r="BT23" i="6"/>
  <c r="BT27" i="6" s="1"/>
  <c r="BT87" i="6"/>
  <c r="BT36" i="6"/>
  <c r="BT93" i="6"/>
  <c r="BT65" i="6"/>
  <c r="BT78" i="6"/>
  <c r="BT86" i="6"/>
  <c r="BT47" i="6"/>
  <c r="BD8" i="6"/>
  <c r="D45" i="11" s="1"/>
  <c r="E45" i="11" s="1"/>
  <c r="BD7" i="6"/>
  <c r="D44" i="11" s="1"/>
  <c r="E44" i="11" s="1"/>
  <c r="BD6" i="6"/>
  <c r="D43" i="11" s="1"/>
  <c r="E43" i="11" s="1"/>
  <c r="BD16" i="6"/>
  <c r="BD12" i="6"/>
  <c r="BD14" i="6"/>
  <c r="BD13" i="6"/>
  <c r="BD17" i="6"/>
  <c r="BD11" i="6"/>
  <c r="BD18" i="6"/>
  <c r="BD15" i="6"/>
  <c r="BC9" i="6"/>
  <c r="BC10" i="6" s="1"/>
  <c r="BC21" i="6"/>
  <c r="BC22" i="6" s="1"/>
  <c r="D42" i="11"/>
  <c r="E42" i="11" s="1"/>
  <c r="AY48" i="13"/>
  <c r="AZ48" i="13" s="1"/>
  <c r="AY46" i="13"/>
  <c r="AZ46" i="13" s="1"/>
  <c r="AY42" i="13"/>
  <c r="AY47" i="13"/>
  <c r="AZ47" i="13" s="1"/>
  <c r="AY45" i="13"/>
  <c r="AY44" i="13"/>
  <c r="AY43" i="13"/>
  <c r="AY49" i="13"/>
  <c r="AZ49" i="13" s="1"/>
  <c r="AZ18" i="13"/>
  <c r="AZ14" i="13"/>
  <c r="AZ16" i="13"/>
  <c r="AZ17" i="13"/>
  <c r="AZ15" i="13"/>
  <c r="D33" i="11"/>
  <c r="E33" i="11" s="1"/>
  <c r="AZ4" i="13"/>
  <c r="D23" i="11"/>
  <c r="E23" i="11" s="1"/>
  <c r="AP14" i="18"/>
  <c r="D21" i="11"/>
  <c r="E21" i="11" s="1"/>
  <c r="AP10" i="18"/>
  <c r="D22" i="11"/>
  <c r="E22" i="11" s="1"/>
  <c r="AP11" i="18"/>
  <c r="C8" i="11"/>
  <c r="E8" i="11" s="1"/>
  <c r="AP22" i="18"/>
  <c r="D24" i="11"/>
  <c r="E24" i="11" s="1"/>
  <c r="AP15" i="18"/>
  <c r="E15" i="11"/>
  <c r="E12" i="11"/>
  <c r="D13" i="11"/>
  <c r="E13" i="11" s="1"/>
  <c r="E46" i="11"/>
  <c r="AP18" i="6"/>
  <c r="C5" i="11"/>
  <c r="E5" i="11" s="1"/>
  <c r="E14" i="11"/>
  <c r="BD121" i="12"/>
  <c r="BD120" i="12"/>
  <c r="BD119" i="12"/>
  <c r="BD118" i="12"/>
  <c r="BL113" i="18"/>
  <c r="BB23" i="18"/>
  <c r="BL99" i="18"/>
  <c r="BL115" i="18"/>
  <c r="BL114" i="18"/>
  <c r="BL116" i="18"/>
  <c r="BL87" i="18"/>
  <c r="BL88" i="18"/>
  <c r="BL103" i="18"/>
  <c r="BL118" i="18"/>
  <c r="BL101" i="18"/>
  <c r="BB21" i="18"/>
  <c r="BL89" i="18"/>
  <c r="BL119" i="18"/>
  <c r="BB22" i="18"/>
  <c r="BL91" i="18"/>
  <c r="BL120" i="18"/>
  <c r="BL86" i="18"/>
  <c r="BL100" i="18"/>
  <c r="BB24" i="18"/>
  <c r="BL90" i="18"/>
  <c r="BL102" i="18"/>
  <c r="BL105" i="18"/>
  <c r="BL92" i="18"/>
  <c r="BL104" i="18"/>
  <c r="BB18" i="18"/>
  <c r="BB19" i="18"/>
  <c r="BL77" i="18"/>
  <c r="BL75" i="18"/>
  <c r="BL76" i="18"/>
  <c r="BL78" i="18"/>
  <c r="BL12" i="18"/>
  <c r="BL11" i="18"/>
  <c r="BL10" i="18"/>
  <c r="BL9" i="18"/>
  <c r="BL8" i="18"/>
  <c r="BL7" i="18"/>
  <c r="BL6" i="18"/>
  <c r="BL5" i="18"/>
  <c r="BL68" i="18"/>
  <c r="BL67" i="18"/>
  <c r="BL66" i="18"/>
  <c r="BL65" i="18"/>
  <c r="BL64" i="18"/>
  <c r="BL63" i="18"/>
  <c r="BL62" i="18"/>
  <c r="BL61" i="18"/>
  <c r="BL54" i="18"/>
  <c r="BL53" i="18"/>
  <c r="BL52" i="18"/>
  <c r="BL51" i="18"/>
  <c r="BL50" i="18"/>
  <c r="BL49" i="18"/>
  <c r="BL48" i="18"/>
  <c r="BL47" i="18"/>
  <c r="BL40" i="18"/>
  <c r="BL39" i="18"/>
  <c r="BL38" i="18"/>
  <c r="BL37" i="18"/>
  <c r="BL36" i="18"/>
  <c r="BL35" i="18"/>
  <c r="BL34" i="18"/>
  <c r="BL33" i="18"/>
  <c r="BL26" i="18"/>
  <c r="BL25" i="18"/>
  <c r="BL24" i="18"/>
  <c r="BL23" i="18"/>
  <c r="BL22" i="18"/>
  <c r="BL21" i="18"/>
  <c r="BL20" i="18"/>
  <c r="BL19" i="18"/>
  <c r="AO12" i="6"/>
  <c r="C10" i="11" s="1"/>
  <c r="E10" i="11" s="1"/>
  <c r="BT13" i="6"/>
  <c r="BT6" i="6"/>
  <c r="BT7" i="6"/>
  <c r="BT12" i="6"/>
  <c r="BT8" i="6"/>
  <c r="BT9" i="6"/>
  <c r="BT10" i="6"/>
  <c r="BT11" i="6"/>
  <c r="AO10" i="6"/>
  <c r="BB49" i="18"/>
  <c r="BB48" i="18"/>
  <c r="BB47" i="18"/>
  <c r="BB46" i="18"/>
  <c r="BB45" i="18"/>
  <c r="BB71" i="18"/>
  <c r="BB77" i="18"/>
  <c r="BB76" i="18"/>
  <c r="BB75" i="18"/>
  <c r="BB74" i="18"/>
  <c r="BB73" i="18"/>
  <c r="BB72" i="18"/>
  <c r="BB70" i="18"/>
  <c r="BB85" i="18"/>
  <c r="BB91" i="18"/>
  <c r="BB90" i="18"/>
  <c r="BB89" i="18"/>
  <c r="BB88" i="18"/>
  <c r="BB87" i="18"/>
  <c r="BB86" i="18"/>
  <c r="BB84" i="18"/>
  <c r="BB57" i="18"/>
  <c r="BB58" i="18"/>
  <c r="BB63" i="18"/>
  <c r="BB62" i="18"/>
  <c r="BB61" i="18"/>
  <c r="BB60" i="18"/>
  <c r="BB59" i="18"/>
  <c r="BB56" i="18"/>
  <c r="BB32" i="18"/>
  <c r="BB35" i="18"/>
  <c r="BB33" i="18"/>
  <c r="BB34" i="18"/>
  <c r="BB119" i="18"/>
  <c r="BB118" i="18"/>
  <c r="BB117" i="18"/>
  <c r="BB116" i="18"/>
  <c r="BB115" i="18"/>
  <c r="BB114" i="18"/>
  <c r="BB113" i="18"/>
  <c r="BB112" i="18"/>
  <c r="BB99" i="18"/>
  <c r="BB105" i="18"/>
  <c r="BB104" i="18"/>
  <c r="BB103" i="18"/>
  <c r="BB102" i="18"/>
  <c r="BB101" i="18"/>
  <c r="BB100" i="18"/>
  <c r="BB98" i="18"/>
  <c r="BB37" i="18"/>
  <c r="BB36" i="18"/>
  <c r="BB31" i="18"/>
  <c r="BB44" i="18"/>
  <c r="AO50" i="18"/>
  <c r="AO77" i="6"/>
  <c r="AO76" i="6"/>
  <c r="AO83" i="6"/>
  <c r="AO82" i="6"/>
  <c r="AO81" i="6"/>
  <c r="AO80" i="6"/>
  <c r="AO79" i="6"/>
  <c r="AO78" i="6"/>
  <c r="BB11" i="18"/>
  <c r="BB9" i="18"/>
  <c r="BB8" i="18"/>
  <c r="BB7" i="18"/>
  <c r="BB6" i="18"/>
  <c r="BB5" i="18"/>
  <c r="BB10" i="18"/>
  <c r="AN10" i="6" l="1"/>
  <c r="AN12" i="6"/>
  <c r="AN11" i="6"/>
  <c r="BT18" i="6"/>
  <c r="BT15" i="6"/>
  <c r="BT20" i="6"/>
  <c r="BT17" i="6"/>
  <c r="BT19" i="6"/>
  <c r="BT16" i="6"/>
  <c r="BT21" i="6"/>
  <c r="AP15" i="6"/>
  <c r="BT26" i="6"/>
  <c r="BT25" i="6"/>
  <c r="BT24" i="6"/>
  <c r="BC30" i="6"/>
  <c r="BC23" i="6"/>
  <c r="BC25" i="6"/>
  <c r="BC24" i="6"/>
  <c r="BC29" i="6"/>
  <c r="BC28" i="6"/>
  <c r="BC26" i="6"/>
  <c r="BC27" i="6"/>
  <c r="BC16" i="6"/>
  <c r="BC17" i="6"/>
  <c r="BC14" i="6"/>
  <c r="BC11" i="6"/>
  <c r="BC18" i="6"/>
  <c r="BC15" i="6"/>
  <c r="BC12" i="6"/>
  <c r="BC13" i="6"/>
  <c r="C7" i="11"/>
  <c r="E7" i="11" s="1"/>
  <c r="AP14" i="6"/>
  <c r="D47" i="11"/>
  <c r="E47" i="11" s="1"/>
  <c r="D48" i="11"/>
  <c r="E48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<sst xmlns="http://schemas.openxmlformats.org/spreadsheetml/2006/main" count="2669" uniqueCount="2059">
  <si>
    <t>Platform System information</t>
  </si>
  <si>
    <t>Item</t>
  </si>
  <si>
    <t>Data.</t>
  </si>
  <si>
    <t>Result</t>
  </si>
  <si>
    <t>Note</t>
  </si>
  <si>
    <t>1.Check Board</t>
  </si>
  <si>
    <t>Mode configuration</t>
  </si>
  <si>
    <t>Node ID</t>
  </si>
  <si>
    <t>HPM REVISION ID</t>
  </si>
  <si>
    <t>SCM REVISION ID</t>
  </si>
  <si>
    <t>CPU0 Presnt</t>
  </si>
  <si>
    <t>CPU1 Presnt</t>
  </si>
  <si>
    <t>2.Check version</t>
  </si>
  <si>
    <t>GLB CPLD</t>
    <phoneticPr fontId="4" type="noConversion"/>
  </si>
  <si>
    <t>SCM CPLD</t>
    <phoneticPr fontId="4" type="noConversion"/>
  </si>
  <si>
    <t>CPLD1</t>
    <phoneticPr fontId="4" type="noConversion"/>
  </si>
  <si>
    <t>CPLD2</t>
    <phoneticPr fontId="4" type="noConversion"/>
  </si>
  <si>
    <t>Analysis</t>
  </si>
  <si>
    <t>3.Check SCM SGPIO link</t>
  </si>
  <si>
    <t>EXP.</t>
  </si>
  <si>
    <t>SGPIO 1 Link Status</t>
  </si>
  <si>
    <t>SGPIO 0 Link Status</t>
    <phoneticPr fontId="4" type="noConversion"/>
  </si>
  <si>
    <t>SGPIO 0 CRC error count</t>
  </si>
  <si>
    <t>SGPIO 1 CRC error count</t>
  </si>
  <si>
    <t>If there is any 'N', change SCM.</t>
  </si>
  <si>
    <t>0xA0[3:0]</t>
    <phoneticPr fontId="4" type="noConversion"/>
  </si>
  <si>
    <t>System Power on status</t>
    <phoneticPr fontId="4" type="noConversion"/>
  </si>
  <si>
    <t>4.Check SGPIO link (CPLD1 -PDB)</t>
  </si>
  <si>
    <t>Default</t>
  </si>
  <si>
    <t>SGPIO Link Status (CPLD1 - PDB)</t>
  </si>
  <si>
    <t>SCM AUX (HPM STBY_EN)</t>
  </si>
  <si>
    <t>&gt;&gt;&gt; check SCM</t>
    <phoneticPr fontId="4" type="noConversion"/>
  </si>
  <si>
    <t>SGPIO Link CRC ERROR(CPLD1 - PDB)</t>
  </si>
  <si>
    <t>BMC Boot (HPM STBY_RSTn)</t>
  </si>
  <si>
    <t>4.Check CPLD2 SGPIO link</t>
    <phoneticPr fontId="4" type="noConversion"/>
  </si>
  <si>
    <t>CPU Aux OK (S5 state)</t>
  </si>
  <si>
    <t>&gt;&gt;&gt; check UPI, sideband cable, CPU(Plug in to confirm)</t>
    <phoneticPr fontId="4" type="noConversion"/>
  </si>
  <si>
    <t>SGPIO 2 Link Status (CPLD1 - CPLD2)</t>
  </si>
  <si>
    <t>Enable main power</t>
  </si>
  <si>
    <t>&gt;&gt;&gt; check MB vr, change MB</t>
    <phoneticPr fontId="4" type="noConversion"/>
  </si>
  <si>
    <t>ESPI Status (CPLD2-BIOS)</t>
  </si>
  <si>
    <t>CPU MEM PWR</t>
  </si>
  <si>
    <t>&gt;&gt;&gt; check DIMM</t>
    <phoneticPr fontId="4" type="noConversion"/>
  </si>
  <si>
    <t xml:space="preserve">SGPIO 2 CRC error count </t>
  </si>
  <si>
    <t>CPU S0 PWROK</t>
  </si>
  <si>
    <t>5.Check GLB SGPIO link</t>
    <phoneticPr fontId="4" type="noConversion"/>
  </si>
  <si>
    <t>CPU PWRGD</t>
  </si>
  <si>
    <t>SGPIO Link Status (CPLD1 - PDB)</t>
    <phoneticPr fontId="4" type="noConversion"/>
  </si>
  <si>
    <t>CPU RESET</t>
  </si>
  <si>
    <t>SGPIO CRC Error Count</t>
  </si>
  <si>
    <t>ERROR state</t>
  </si>
  <si>
    <t>&gt;&gt;&gt; S3M,or change CPU</t>
    <phoneticPr fontId="4" type="noConversion"/>
  </si>
  <si>
    <t>SGPIO CRC Good Count</t>
  </si>
  <si>
    <t>ST_ADR</t>
    <phoneticPr fontId="4" type="noConversion"/>
  </si>
  <si>
    <t>5.Check SCM Power State</t>
  </si>
  <si>
    <t>ST_HANDSHAKE_0</t>
    <phoneticPr fontId="4" type="noConversion"/>
  </si>
  <si>
    <t>DC-SCM VR on/off status Register</t>
    <phoneticPr fontId="4" type="noConversion"/>
  </si>
  <si>
    <t>Platform on (S0 state)</t>
  </si>
  <si>
    <t>Power Good Status Register</t>
  </si>
  <si>
    <t>6.Check System Power State</t>
  </si>
  <si>
    <t>7.Check UPI Cable</t>
  </si>
  <si>
    <t>CPU0/1 SMB ALERT</t>
  </si>
  <si>
    <t>SMB_MM7_SEL</t>
  </si>
  <si>
    <t>SMB_MM6_SEL</t>
  </si>
  <si>
    <t>E1S_Power_Control_Path</t>
  </si>
  <si>
    <t>CABLE ID information from PCA9555</t>
  </si>
  <si>
    <t>SLED (From PCA9555)</t>
  </si>
  <si>
    <t>Mode (From PCA9555)</t>
  </si>
  <si>
    <t>LOG</t>
  </si>
  <si>
    <t>A</t>
  </si>
  <si>
    <t>B</t>
  </si>
  <si>
    <t>C</t>
  </si>
  <si>
    <t>D</t>
  </si>
  <si>
    <t>E</t>
  </si>
  <si>
    <t>F</t>
  </si>
  <si>
    <t>Common info</t>
  </si>
  <si>
    <t>SGPIO Link</t>
    <phoneticPr fontId="4" type="noConversion"/>
  </si>
  <si>
    <t>CPU/Board ID</t>
  </si>
  <si>
    <t>Analyze</t>
    <phoneticPr fontId="4" type="noConversion"/>
  </si>
  <si>
    <t>0x00[7:4]</t>
    <phoneticPr fontId="4" type="noConversion"/>
  </si>
  <si>
    <t>Wirte Busy Flag</t>
    <phoneticPr fontId="4" type="noConversion"/>
  </si>
  <si>
    <t>0xA6 [0]</t>
  </si>
  <si>
    <t>1</t>
  </si>
  <si>
    <t>0x00 [7:4]</t>
    <phoneticPr fontId="4" type="noConversion"/>
  </si>
  <si>
    <t>Write Busy Flag</t>
  </si>
  <si>
    <t>0001</t>
  </si>
  <si>
    <t>4'b0001</t>
  </si>
  <si>
    <t>SLED0 USE</t>
  </si>
  <si>
    <t>0xA7 [7:0]</t>
  </si>
  <si>
    <t>00</t>
  </si>
  <si>
    <t>0x00 [0]</t>
    <phoneticPr fontId="4" type="noConversion"/>
  </si>
  <si>
    <t>FM_MISC_IOB_4S_N_8S_MODE</t>
  </si>
  <si>
    <t>0</t>
  </si>
  <si>
    <t>4'b0010</t>
  </si>
  <si>
    <t>SLED1 USE</t>
  </si>
  <si>
    <t>0xA8 [7:0]</t>
  </si>
  <si>
    <t>don't care</t>
    <phoneticPr fontId="4" type="noConversion"/>
  </si>
  <si>
    <t>0x04 [7:4]</t>
  </si>
  <si>
    <t>iwol_out</t>
    <phoneticPr fontId="4" type="noConversion"/>
  </si>
  <si>
    <t>4'b0100</t>
  </si>
  <si>
    <t>SLED2 USE</t>
  </si>
  <si>
    <t>0x04 [3:0]</t>
  </si>
  <si>
    <t>iwol_in</t>
    <phoneticPr fontId="4" type="noConversion"/>
  </si>
  <si>
    <t>4'b1000</t>
  </si>
  <si>
    <t>SLED3 USE</t>
  </si>
  <si>
    <t>Configuration</t>
    <phoneticPr fontId="4" type="noConversion"/>
  </si>
  <si>
    <t>0xC1[7:0]</t>
    <phoneticPr fontId="4" type="noConversion"/>
  </si>
  <si>
    <t>Node ID:</t>
  </si>
  <si>
    <t>0xC0 [3:2]</t>
  </si>
  <si>
    <t>FRU ID Configuration</t>
    <phoneticPr fontId="4" type="noConversion"/>
  </si>
  <si>
    <t>0xC1 [7:6]</t>
  </si>
  <si>
    <t>SLED3 Node ID</t>
  </si>
  <si>
    <t>power statue</t>
    <phoneticPr fontId="4" type="noConversion"/>
  </si>
  <si>
    <t>only sled0 could read</t>
    <phoneticPr fontId="4" type="noConversion"/>
  </si>
  <si>
    <t>0x00[0]</t>
    <phoneticPr fontId="4" type="noConversion"/>
  </si>
  <si>
    <t>FM_MISC_IOB_4S_N_8S_MODE</t>
    <phoneticPr fontId="4" type="noConversion"/>
  </si>
  <si>
    <t>0xC1 [7:0]</t>
    <phoneticPr fontId="4" type="noConversion"/>
  </si>
  <si>
    <t>Node ID (from PCA9555)</t>
    <phoneticPr fontId="4" type="noConversion"/>
  </si>
  <si>
    <t>11100100</t>
  </si>
  <si>
    <t>0xC1 [5:4]</t>
  </si>
  <si>
    <t>SLED2 Node ID</t>
  </si>
  <si>
    <t>0x05 [8:0]</t>
    <phoneticPr fontId="4" type="noConversion"/>
  </si>
  <si>
    <t>1'b0</t>
  </si>
  <si>
    <t>2S/4S</t>
  </si>
  <si>
    <t>0xC2 [7:4]</t>
    <phoneticPr fontId="4" type="noConversion"/>
  </si>
  <si>
    <t>CPU1_SKTOCC information</t>
  </si>
  <si>
    <t>check CPU set</t>
    <phoneticPr fontId="4" type="noConversion"/>
  </si>
  <si>
    <t>0xC1 [3:2]</t>
  </si>
  <si>
    <t>SLED1 Node ID</t>
  </si>
  <si>
    <t>a0</t>
  </si>
  <si>
    <t>0x05[7]</t>
  </si>
  <si>
    <t>iVPDB_P12V_AUX4_VR_ALERT_N</t>
    <phoneticPr fontId="4" type="noConversion"/>
  </si>
  <si>
    <t>loc="R5"</t>
  </si>
  <si>
    <t>1'b1</t>
  </si>
  <si>
    <t>8S</t>
  </si>
  <si>
    <t>0xC2[3:0]</t>
  </si>
  <si>
    <t>CPU0_SKTOCC information</t>
  </si>
  <si>
    <t>0xC1 [1:0]</t>
  </si>
  <si>
    <t>SLED0 Node ID</t>
  </si>
  <si>
    <t>b0</t>
  </si>
  <si>
    <t>0x05[6]</t>
  </si>
  <si>
    <t>iVPDB_P12V_AUX3_VR_ALERT_N</t>
  </si>
  <si>
    <t>loc="V7"</t>
  </si>
  <si>
    <t>FRU ID Configuration - C4XAB</t>
    <phoneticPr fontId="4" type="noConversion"/>
  </si>
  <si>
    <t>c0</t>
  </si>
  <si>
    <t>0x05[5]</t>
  </si>
  <si>
    <t>iHPDB_P12V_AUX2_VR_ALERT_N</t>
  </si>
  <si>
    <t>loc="E22"</t>
  </si>
  <si>
    <t>0x19[7:0]</t>
    <phoneticPr fontId="4" type="noConversion"/>
  </si>
  <si>
    <t>FAN_DUTY_SET:</t>
  </si>
  <si>
    <t>0xC3 [7:0]</t>
    <phoneticPr fontId="4" type="noConversion"/>
  </si>
  <si>
    <t>FRU ID Configuration - C</t>
    <phoneticPr fontId="4" type="noConversion"/>
  </si>
  <si>
    <t>0xC2[7:4]</t>
    <phoneticPr fontId="4" type="noConversion"/>
  </si>
  <si>
    <t>CPU_SKTOCC: (1: NO CPU , 0: CPU install)</t>
  </si>
  <si>
    <t>d0</t>
  </si>
  <si>
    <t>0x05[4]</t>
  </si>
  <si>
    <t>iHPDB_P12V_AUX1_VR_ALERT_N</t>
    <phoneticPr fontId="4" type="noConversion"/>
  </si>
  <si>
    <t>loc="J22"</t>
  </si>
  <si>
    <t>8'h0</t>
  </si>
  <si>
    <t>0xC4 [7:0]</t>
    <phoneticPr fontId="4" type="noConversion"/>
  </si>
  <si>
    <t>FRU ID Configuration - 4</t>
    <phoneticPr fontId="4" type="noConversion"/>
  </si>
  <si>
    <t>0xC2[7]</t>
    <phoneticPr fontId="4" type="noConversion"/>
  </si>
  <si>
    <t>SLED3 CPU0</t>
    <phoneticPr fontId="4" type="noConversion"/>
  </si>
  <si>
    <t>e0</t>
  </si>
  <si>
    <t>0x05[3]</t>
  </si>
  <si>
    <t>iNODE3_FPGA_ROT_P1_RST_N</t>
    <phoneticPr fontId="4" type="noConversion"/>
  </si>
  <si>
    <t>loc="U17"</t>
  </si>
  <si>
    <t>8'h64</t>
  </si>
  <si>
    <t>0xC5 [7:0]</t>
    <phoneticPr fontId="4" type="noConversion"/>
  </si>
  <si>
    <t>FRU ID Configuration - X</t>
    <phoneticPr fontId="4" type="noConversion"/>
  </si>
  <si>
    <t>2S-31/4S-33/8S-36</t>
    <phoneticPr fontId="4" type="noConversion"/>
  </si>
  <si>
    <t>0xC2[6]</t>
    <phoneticPr fontId="4" type="noConversion"/>
  </si>
  <si>
    <t>SLED2 CPU0</t>
    <phoneticPr fontId="4" type="noConversion"/>
  </si>
  <si>
    <t>f0</t>
  </si>
  <si>
    <t>0x05[2]</t>
  </si>
  <si>
    <t>iNODE2_FPGA_ROT_P1_RST_N</t>
  </si>
  <si>
    <t>loc="P3"</t>
  </si>
  <si>
    <t>0xC6 [7:0]</t>
    <phoneticPr fontId="4" type="noConversion"/>
  </si>
  <si>
    <t>FRU ID Configuration - A</t>
    <phoneticPr fontId="4" type="noConversion"/>
  </si>
  <si>
    <t>0xC2[5]</t>
    <phoneticPr fontId="4" type="noConversion"/>
  </si>
  <si>
    <t>SLED1 CPU0</t>
    <phoneticPr fontId="4" type="noConversion"/>
  </si>
  <si>
    <t>0x05[1]</t>
    <phoneticPr fontId="4" type="noConversion"/>
  </si>
  <si>
    <t>iNODE1_FPGA_ROT_P1_RST_N</t>
  </si>
  <si>
    <t>loc="A3"</t>
  </si>
  <si>
    <t>0xC7 [7:0]</t>
    <phoneticPr fontId="4" type="noConversion"/>
  </si>
  <si>
    <t>FRU ID Configuration - B</t>
    <phoneticPr fontId="4" type="noConversion"/>
  </si>
  <si>
    <t>0xC2[4]</t>
    <phoneticPr fontId="4" type="noConversion"/>
  </si>
  <si>
    <t>SLE0 CPU0</t>
    <phoneticPr fontId="4" type="noConversion"/>
  </si>
  <si>
    <t>0x05[0]</t>
    <phoneticPr fontId="4" type="noConversion"/>
  </si>
  <si>
    <t>iNODE0_FPGA_ROT_P1_RST_N</t>
  </si>
  <si>
    <t>loc="A16"</t>
  </si>
  <si>
    <t>Paste LOG Here ( i2cdump -y -a -f 6 0x30 )</t>
  </si>
  <si>
    <t>0x06 [8:0]</t>
    <phoneticPr fontId="4" type="noConversion"/>
  </si>
  <si>
    <t xml:space="preserve">     0  1  2  3  4  5  6  7  8  9  a  b  c  d  e  f    0123456789abcdef</t>
  </si>
  <si>
    <t>0x06[7]</t>
  </si>
  <si>
    <t>iVPDB_P48V_AUX4_UV_ALERT2_N</t>
    <phoneticPr fontId="4" type="noConversion"/>
  </si>
  <si>
    <t>loc="V4"</t>
  </si>
  <si>
    <t>0xF1 [8:0]</t>
    <phoneticPr fontId="4" type="noConversion"/>
  </si>
  <si>
    <t>11xx1101</t>
    <phoneticPr fontId="4" type="noConversion"/>
  </si>
  <si>
    <t>0xC2[3]</t>
  </si>
  <si>
    <t>SLED3 CPU1</t>
    <phoneticPr fontId="4" type="noConversion"/>
  </si>
  <si>
    <t>0x06[6]</t>
  </si>
  <si>
    <t>iVPDB_P48V_AUX4_OC_ALERT1_N</t>
  </si>
  <si>
    <t>loc="U5"</t>
  </si>
  <si>
    <t>0xF0[7]</t>
  </si>
  <si>
    <t>HPDB_P48V_AUX1_HS_FAULT_N</t>
  </si>
  <si>
    <t>loc="F8"</t>
  </si>
  <si>
    <t>0xC2[2]</t>
  </si>
  <si>
    <t>SLED2 CPU1</t>
    <phoneticPr fontId="4" type="noConversion"/>
  </si>
  <si>
    <t>0x06[5]</t>
  </si>
  <si>
    <t>iVPDB_P48V_AUX3_UV_ALERT2_N</t>
  </si>
  <si>
    <t>loc="U12"</t>
  </si>
  <si>
    <t>0xF0[6]</t>
  </si>
  <si>
    <t>HPDB_P48V_AUX2_HS_FAULT_N</t>
    <phoneticPr fontId="4" type="noConversion"/>
  </si>
  <si>
    <t>loc="L7"</t>
  </si>
  <si>
    <t>0xC2[1]</t>
  </si>
  <si>
    <t>SLED1 CPU1</t>
    <phoneticPr fontId="4" type="noConversion"/>
  </si>
  <si>
    <t>20: 00 00 00 00 00 00 00 00 00 00 00 00 00 00 00 00    ................</t>
  </si>
  <si>
    <t>0x06[4]</t>
  </si>
  <si>
    <t>iVPDB_P48V_AUX3_OC_ALERT1_N</t>
    <phoneticPr fontId="4" type="noConversion"/>
  </si>
  <si>
    <t>loc="V12"</t>
  </si>
  <si>
    <t>0xF0[5]</t>
  </si>
  <si>
    <t>VPDB_P48V_AUX3_HS_FAULT_N</t>
    <phoneticPr fontId="4" type="noConversion"/>
  </si>
  <si>
    <t>loc="U11"</t>
  </si>
  <si>
    <t>0xC2[0]</t>
  </si>
  <si>
    <t>SLE0 CPU1</t>
    <phoneticPr fontId="4" type="noConversion"/>
  </si>
  <si>
    <t>0x06[3]</t>
  </si>
  <si>
    <t>iHPDB_P48V_AUX2_UV_ALERT2_N</t>
  </si>
  <si>
    <t>loc="J7"</t>
  </si>
  <si>
    <t>0xF0[4]</t>
  </si>
  <si>
    <t>VPDB_P48V_AUX4_HS_FAULT_N</t>
  </si>
  <si>
    <t>loc="P5"</t>
  </si>
  <si>
    <t>40: 10 00 00 00 00 00 00 00 00 00 00 00 00 00 00 00    ?...............</t>
  </si>
  <si>
    <t>0x06[2]</t>
  </si>
  <si>
    <t>iHPDB_P48V_AUX2_OC_ALERT1_N</t>
  </si>
  <si>
    <t>loc="K7"</t>
  </si>
  <si>
    <t>0xF0[3]</t>
  </si>
  <si>
    <t>PWRGD_P12V_AUX1</t>
  </si>
  <si>
    <t>loc="E7"</t>
  </si>
  <si>
    <t>0x06[1]</t>
    <phoneticPr fontId="4" type="noConversion"/>
  </si>
  <si>
    <t>iHPDB_P48V_AUX1_UV_ALERT2_N</t>
  </si>
  <si>
    <t>loc="C9"</t>
  </si>
  <si>
    <t>0xF0[2]</t>
  </si>
  <si>
    <t>PWRGD_P12V_AUX2</t>
    <phoneticPr fontId="4" type="noConversion"/>
  </si>
  <si>
    <t>loc="P7"</t>
  </si>
  <si>
    <t>0x06[0]</t>
    <phoneticPr fontId="4" type="noConversion"/>
  </si>
  <si>
    <t>iHPDB_P48V_AUX1_OC_ALERT1_N</t>
  </si>
  <si>
    <t>loc="C8"</t>
  </si>
  <si>
    <t>0xF0[1]</t>
  </si>
  <si>
    <t>fru_flash_sel</t>
    <phoneticPr fontId="4" type="noConversion"/>
  </si>
  <si>
    <t>0xF0[0]</t>
    <phoneticPr fontId="4" type="noConversion"/>
  </si>
  <si>
    <t>BMC_GFPGA_MUX_SEL</t>
    <phoneticPr fontId="4" type="noConversion"/>
  </si>
  <si>
    <t>90: 00 00 00 00 00 00 00 00 00 00 00 00 00 00 00 00    ................</t>
  </si>
  <si>
    <t>0x18 [7]</t>
  </si>
  <si>
    <t>FAN_PWM_SEL</t>
  </si>
  <si>
    <t>GLB_THROTTLE/GLB_PWRBRK</t>
    <phoneticPr fontId="4" type="noConversion"/>
  </si>
  <si>
    <t>0x18 [6]</t>
  </si>
  <si>
    <t>FAN_PWM_CTRL</t>
  </si>
  <si>
    <t>GLB_THROTTLE_R_N_S_All</t>
    <phoneticPr fontId="4" type="noConversion"/>
  </si>
  <si>
    <t>b0: 00 00 00 00 00 00 00 00 00 00 00 00 00 00 00 00    ................</t>
  </si>
  <si>
    <t>0x18 [5:0]</t>
  </si>
  <si>
    <t>FAN_FREQ_SET</t>
  </si>
  <si>
    <t>000000</t>
  </si>
  <si>
    <t>0xF1[7]</t>
  </si>
  <si>
    <t>Reserved as '0'</t>
  </si>
  <si>
    <t>0x19 [7:0]</t>
    <phoneticPr fontId="4" type="noConversion"/>
  </si>
  <si>
    <t>FAN_DUTY_SET</t>
  </si>
  <si>
    <t>0xF1[6]</t>
  </si>
  <si>
    <t>PWRGD_P12V_AUX4</t>
    <phoneticPr fontId="4" type="noConversion"/>
  </si>
  <si>
    <t>loc="H16"</t>
    <phoneticPr fontId="4" type="noConversion"/>
  </si>
  <si>
    <t>d0: 00 00 00 00 00 00 00 00 00 00 00 00 00 00 00 00    ................</t>
  </si>
  <si>
    <t>0x1A [7:0]</t>
  </si>
  <si>
    <t>FAN_WDG_CNT</t>
  </si>
  <si>
    <t>0xF1[5]</t>
  </si>
  <si>
    <t>PWRGD_P12V_AUX3</t>
    <phoneticPr fontId="4" type="noConversion"/>
  </si>
  <si>
    <t>loc="H17"</t>
    <phoneticPr fontId="4" type="noConversion"/>
  </si>
  <si>
    <t>e0: 00 00 00 00 00 00 00 00 00 00 00 00 00 00 00 00    ................</t>
  </si>
  <si>
    <t>0x1B [7:0]</t>
  </si>
  <si>
    <t>FAN_WDG</t>
  </si>
  <si>
    <t>1e</t>
  </si>
  <si>
    <t>0xF1[4]</t>
  </si>
  <si>
    <t>0xF1[3]</t>
  </si>
  <si>
    <t>GLB_THROTTLE_R_N_S_SLED3</t>
    <phoneticPr fontId="4" type="noConversion"/>
  </si>
  <si>
    <t>sync</t>
    <phoneticPr fontId="4" type="noConversion"/>
  </si>
  <si>
    <t>0xF1[2]</t>
  </si>
  <si>
    <t>GLB_THROTTLE_R_N_S_SLED2</t>
    <phoneticPr fontId="4" type="noConversion"/>
  </si>
  <si>
    <t>0x1D [8:0]</t>
    <phoneticPr fontId="4" type="noConversion"/>
  </si>
  <si>
    <t>0xF1[1]</t>
  </si>
  <si>
    <t>GLB_THROTTLE_R_N_S_SLED1</t>
    <phoneticPr fontId="4" type="noConversion"/>
  </si>
  <si>
    <t>0x1D[7]</t>
  </si>
  <si>
    <t>ifm_hpm_stby_rst_node3_global_ack</t>
    <phoneticPr fontId="4" type="noConversion"/>
  </si>
  <si>
    <t>loc="AA4"</t>
  </si>
  <si>
    <t>0xF1[0]</t>
    <phoneticPr fontId="4" type="noConversion"/>
  </si>
  <si>
    <t>GLB_THROTTLE_R_N_S_SLED0</t>
    <phoneticPr fontId="4" type="noConversion"/>
  </si>
  <si>
    <t>0x1D[6]</t>
  </si>
  <si>
    <t>ifm_hpm_stby_rst_node3_local_sync</t>
  </si>
  <si>
    <t>loc="AB4"</t>
  </si>
  <si>
    <t>0xF2 [8:0]</t>
    <phoneticPr fontId="4" type="noConversion"/>
  </si>
  <si>
    <t>GLB_PWRBRK_R_N_S_All</t>
    <phoneticPr fontId="4" type="noConversion"/>
  </si>
  <si>
    <t>0x1D[5]</t>
  </si>
  <si>
    <t>ifm_hpm_stby_rst_node2_global_ack</t>
    <phoneticPr fontId="4" type="noConversion"/>
  </si>
  <si>
    <t>loc="Y1"</t>
  </si>
  <si>
    <t>0xF2[7]</t>
    <phoneticPr fontId="4" type="noConversion"/>
  </si>
  <si>
    <t>0x1D[4]</t>
  </si>
  <si>
    <t>ifm_hpm_stby_rst_node2_local_sync</t>
  </si>
  <si>
    <t>loc="Y2"</t>
  </si>
  <si>
    <t>0xF2[6]</t>
    <phoneticPr fontId="4" type="noConversion"/>
  </si>
  <si>
    <t>0x1D[3]</t>
  </si>
  <si>
    <t>ifm_hpm_stby_rst_node1_global_ack</t>
  </si>
  <si>
    <t>loc="A11"</t>
  </si>
  <si>
    <t>0xF2[5]</t>
  </si>
  <si>
    <t>Reserved as '0'</t>
    <phoneticPr fontId="4" type="noConversion"/>
  </si>
  <si>
    <t>0x1D[2]</t>
  </si>
  <si>
    <t>ifm_hpm_stby_rst_node1_local_sync</t>
  </si>
  <si>
    <t>loc="B9"</t>
  </si>
  <si>
    <t>0xF2[4]</t>
  </si>
  <si>
    <t>0x1D[1]</t>
  </si>
  <si>
    <t>ifm_hpm_stby_rst_node0_global_ack</t>
  </si>
  <si>
    <t>loc="D15"</t>
  </si>
  <si>
    <t>0xF2[3]</t>
  </si>
  <si>
    <t>GLB_PWRBRK_R_N_S_SLED3</t>
    <phoneticPr fontId="4" type="noConversion"/>
  </si>
  <si>
    <t>0x1D[0]</t>
    <phoneticPr fontId="4" type="noConversion"/>
  </si>
  <si>
    <t>ifm_hpm_stby_rst_node0_local_sync</t>
  </si>
  <si>
    <t>loc="D17"</t>
  </si>
  <si>
    <t>0xF2[2]</t>
  </si>
  <si>
    <t>GLB_PWRBRK_R_N_S_SLED2</t>
    <phoneticPr fontId="4" type="noConversion"/>
  </si>
  <si>
    <t>0xF2[1]</t>
  </si>
  <si>
    <t>GLB_PWRBRK_R_N_S_SLED1</t>
  </si>
  <si>
    <t>WOL</t>
    <phoneticPr fontId="4" type="noConversion"/>
  </si>
  <si>
    <t>0xF2[0]</t>
  </si>
  <si>
    <t>GLB_PWRBRK_R_N_S_SLED0</t>
  </si>
  <si>
    <t>0x1E [7:0]</t>
    <phoneticPr fontId="4" type="noConversion"/>
  </si>
  <si>
    <t>choose trigger sled</t>
    <phoneticPr fontId="4" type="noConversion"/>
  </si>
  <si>
    <t>Version</t>
    <phoneticPr fontId="4" type="noConversion"/>
  </si>
  <si>
    <t>temp</t>
    <phoneticPr fontId="4" type="noConversion"/>
  </si>
  <si>
    <t>0xFD [7:0]</t>
  </si>
  <si>
    <t>AUX Version</t>
    <phoneticPr fontId="4" type="noConversion"/>
  </si>
  <si>
    <t>0x34 [7:0]</t>
  </si>
  <si>
    <t>hpdb_temp_High byte</t>
  </si>
  <si>
    <t>0xFE [7:0]</t>
  </si>
  <si>
    <t>Major Version</t>
  </si>
  <si>
    <t>0x35 [7:0]</t>
  </si>
  <si>
    <t>hpdb_temp_Low byte</t>
  </si>
  <si>
    <t>0xFF [7:0]</t>
  </si>
  <si>
    <t>Minor Version</t>
  </si>
  <si>
    <t>0x36 [7:0]</t>
  </si>
  <si>
    <t>vpdb_temp_High byte</t>
  </si>
  <si>
    <t>0x37 [7:0]</t>
  </si>
  <si>
    <t>vpdb_temp_Low byte</t>
  </si>
  <si>
    <t>HPDB/VPDB state</t>
    <phoneticPr fontId="4" type="noConversion"/>
  </si>
  <si>
    <t>0x3A [7]</t>
  </si>
  <si>
    <t>FM_HPDB_P12V_AUX1_EN</t>
    <phoneticPr fontId="4" type="noConversion"/>
  </si>
  <si>
    <t>loc="D21"</t>
  </si>
  <si>
    <t>0x3A [6]</t>
  </si>
  <si>
    <t>FM_HPDB_P12V_AUX2_EN</t>
  </si>
  <si>
    <t>loc="E21"</t>
  </si>
  <si>
    <t>0x3A [5]</t>
  </si>
  <si>
    <t>HPDB_P48V_AUX1_HS_PWRGD</t>
    <phoneticPr fontId="4" type="noConversion"/>
  </si>
  <si>
    <t>loc="F9"</t>
  </si>
  <si>
    <t>0x3A [4]</t>
  </si>
  <si>
    <t>HPDB_P48V_AUX2_HS_PWRGD</t>
    <phoneticPr fontId="4" type="noConversion"/>
  </si>
  <si>
    <t>loc="L6"</t>
  </si>
  <si>
    <t>0x3A [3]</t>
  </si>
  <si>
    <t>FM_VPDB_P12V_AUX3_EN</t>
    <phoneticPr fontId="4" type="noConversion"/>
  </si>
  <si>
    <t>loc="T21"</t>
  </si>
  <si>
    <t>0x3A [2]</t>
  </si>
  <si>
    <t>FM_VPDB_P12V_AUX4_EN</t>
    <phoneticPr fontId="4" type="noConversion"/>
  </si>
  <si>
    <t>loc="R21"</t>
  </si>
  <si>
    <t>0x3A [1]</t>
  </si>
  <si>
    <t>VPDB_P48V_AUX3_HS_PWRGD</t>
    <phoneticPr fontId="4" type="noConversion"/>
  </si>
  <si>
    <t>loc="V11"</t>
  </si>
  <si>
    <t>0x3A [0]</t>
  </si>
  <si>
    <t>VPDB_P48V_AUX4_HS_PWRGD</t>
  </si>
  <si>
    <t>loc="T5"</t>
  </si>
  <si>
    <t>Register for MSFT Secure IP</t>
    <phoneticPr fontId="4" type="noConversion"/>
  </si>
  <si>
    <t>0x40 [8:0]</t>
    <phoneticPr fontId="4" type="noConversion"/>
  </si>
  <si>
    <t>0x05[7:4]</t>
    <phoneticPr fontId="4" type="noConversion"/>
  </si>
  <si>
    <t>STATE_ROUGH</t>
    <phoneticPr fontId="4" type="noConversion"/>
  </si>
  <si>
    <t>BMC_LK_EN</t>
  </si>
  <si>
    <t>BMC_UL_EN</t>
    <phoneticPr fontId="4" type="noConversion"/>
  </si>
  <si>
    <t>0x41 [8:0]</t>
    <phoneticPr fontId="4" type="noConversion"/>
  </si>
  <si>
    <t>STATE_DETAIL</t>
  </si>
  <si>
    <t>mailbox</t>
    <phoneticPr fontId="4" type="noConversion"/>
  </si>
  <si>
    <t>0x50 ~ 0x5F [7:0]</t>
  </si>
  <si>
    <t>SLED0 Mailbox_data [15:0]</t>
  </si>
  <si>
    <t>0x60 ~ 0x6F [7:0]</t>
  </si>
  <si>
    <t>SLED1 Mailbox_data [15:0]</t>
  </si>
  <si>
    <t>0x70 ~ 0x7F [7:0]</t>
  </si>
  <si>
    <t>SLED2 Mailbox_data [15:0]</t>
  </si>
  <si>
    <t>0x80 ~ 0x8F [7:0]</t>
  </si>
  <si>
    <t>SLED3 Mailbox_data [15:0]</t>
  </si>
  <si>
    <t>SGPIO DATA Detail</t>
  </si>
  <si>
    <t>CPLD Revision</t>
  </si>
  <si>
    <t>Analyze</t>
  </si>
  <si>
    <t>0x10 [7:0]</t>
  </si>
  <si>
    <t>Check SGPIO 0 Data</t>
  </si>
  <si>
    <t>0x20 [7:0]</t>
  </si>
  <si>
    <t>0x00 [7:4]</t>
  </si>
  <si>
    <t>Major Revision</t>
  </si>
  <si>
    <t>0x10 [7]</t>
  </si>
  <si>
    <t>P0_PROCHOT_N</t>
  </si>
  <si>
    <t>0x20 [7]</t>
  </si>
  <si>
    <t>PDB_ALERT3_EN_N</t>
  </si>
  <si>
    <t>0x00 [3:0]</t>
  </si>
  <si>
    <t>Minor Revision</t>
  </si>
  <si>
    <t>SGPIO Link Status:</t>
  </si>
  <si>
    <t>0x10 [5]</t>
  </si>
  <si>
    <t>P0_BMC_MEMTRIP_N</t>
  </si>
  <si>
    <t>0x20 [6]</t>
  </si>
  <si>
    <t>PDB_ALERT2_EN_N</t>
  </si>
  <si>
    <t>SGPIO Control / Status</t>
  </si>
  <si>
    <t>2'b00</t>
  </si>
  <si>
    <t>Off</t>
  </si>
  <si>
    <t>0x10 [4]</t>
  </si>
  <si>
    <t>H_CPU0_MEMHOT_OUT_LVC1_N</t>
  </si>
  <si>
    <t>0x20 [5]</t>
  </si>
  <si>
    <t>RST_MIC_MUX_N</t>
  </si>
  <si>
    <t>0x01 [0]</t>
  </si>
  <si>
    <t>SGPIO#0 Control Bit</t>
  </si>
  <si>
    <t>2'b01</t>
  </si>
  <si>
    <t>Establishment</t>
  </si>
  <si>
    <t>0x10 [3]</t>
  </si>
  <si>
    <t>P0_MEM_VRHOT_N</t>
  </si>
  <si>
    <t>0x20 [4]</t>
  </si>
  <si>
    <t>RST_BMC_RTCRST</t>
  </si>
  <si>
    <t>0x02 [0]</t>
  </si>
  <si>
    <t>SGPIO#1 Control Bit</t>
  </si>
  <si>
    <t>2'b10</t>
  </si>
  <si>
    <t>Fail</t>
  </si>
  <si>
    <t>0x10 [2]</t>
  </si>
  <si>
    <t>FM_CPU0_ERR2_LVT3_N</t>
  </si>
  <si>
    <t>0x20 [3]</t>
  </si>
  <si>
    <t>FM_REMOTE_DEBUG_EN_N</t>
  </si>
  <si>
    <t>0x03 [3:2]</t>
  </si>
  <si>
    <t>11</t>
  </si>
  <si>
    <t>2'b11</t>
  </si>
  <si>
    <t>Ready</t>
  </si>
  <si>
    <t>0x10 [1]</t>
  </si>
  <si>
    <t>FM_CPU0_ERR1_LVT3_N</t>
  </si>
  <si>
    <t>0x20 [2]</t>
  </si>
  <si>
    <t>FM_SCM_BOARD_REV_ID2</t>
  </si>
  <si>
    <t>0x03 [1:0]</t>
  </si>
  <si>
    <t>SGPIO 0 Link Status</t>
  </si>
  <si>
    <t>0x10 [0]</t>
  </si>
  <si>
    <t>FM_CPU0_ERR0_LVT3_N</t>
  </si>
  <si>
    <t>0x20 [1]</t>
  </si>
  <si>
    <t>FM_SCM_BOARD_REV_ID1</t>
  </si>
  <si>
    <t>0x04 [1]</t>
    <phoneticPr fontId="4" type="noConversion"/>
  </si>
  <si>
    <t>WOL_OUT</t>
  </si>
  <si>
    <t>0x20 [0]</t>
  </si>
  <si>
    <t>FM_SCM_BOARD_REV_ID0</t>
  </si>
  <si>
    <t>0x04 [0]</t>
    <phoneticPr fontId="4" type="noConversion"/>
  </si>
  <si>
    <t>WOL_IN</t>
  </si>
  <si>
    <t>0x06 [7:0]</t>
  </si>
  <si>
    <t>0x07 [7:0]</t>
  </si>
  <si>
    <t>0x08 [7:0]</t>
  </si>
  <si>
    <t>SGPIO 0 CRC good count</t>
  </si>
  <si>
    <t>17</t>
  </si>
  <si>
    <t xml:space="preserve">(0x0A)Power on </t>
  </si>
  <si>
    <t>0x09 [7:0]</t>
  </si>
  <si>
    <t>SGPIO 1 CRC good count</t>
  </si>
  <si>
    <t>14</t>
  </si>
  <si>
    <t>0x0</t>
  </si>
  <si>
    <t>All power rails are disabled</t>
  </si>
  <si>
    <t>0x11 [7:0]</t>
  </si>
  <si>
    <t xml:space="preserve">Power Status </t>
  </si>
  <si>
    <t>0x1</t>
  </si>
  <si>
    <t>P3V3_BMC_STBY is ready</t>
  </si>
  <si>
    <t>0x11 [7]</t>
  </si>
  <si>
    <t>P1_MEM_VRHOT_N</t>
  </si>
  <si>
    <t>0x21 [7:0]</t>
  </si>
  <si>
    <t>0x0A [7:0]</t>
  </si>
  <si>
    <t>09</t>
  </si>
  <si>
    <t>0x2</t>
  </si>
  <si>
    <t>All of the above and P2V5_BMC_STBY is enabled.</t>
  </si>
  <si>
    <t>0x11 [5]</t>
  </si>
  <si>
    <t>PDB_ALERT2_N</t>
  </si>
  <si>
    <t>0x21 [7]</t>
  </si>
  <si>
    <t>FM_JTAG_TCK_MUX_SEL</t>
  </si>
  <si>
    <t>Paste LOG Here ( i2cdump -y -a -f 15 0x60 )</t>
  </si>
  <si>
    <t>0x0B [7:0]</t>
  </si>
  <si>
    <t>0x3</t>
  </si>
  <si>
    <t>All of the above and P1V8_BMC_STBY is enabled.</t>
  </si>
  <si>
    <t>0x11 [4]</t>
  </si>
  <si>
    <t>PDB_ALERT1_N</t>
  </si>
  <si>
    <t>0x21 [6]</t>
  </si>
  <si>
    <t>FM_UV_ADR_TRIGGER_EN</t>
  </si>
  <si>
    <t>Board Revision / BMC Scratch Pad</t>
  </si>
  <si>
    <t>0x4</t>
  </si>
  <si>
    <t>All of the above and P1V2_BMC_STBY is enabled.</t>
  </si>
  <si>
    <t>0x11 [3]</t>
  </si>
  <si>
    <t>PWRGD_CPU0_LVC3</t>
  </si>
  <si>
    <t>0x21 [5]</t>
  </si>
  <si>
    <t>FM_UART2_FPGA_SELECT</t>
  </si>
  <si>
    <t>0x0C [5:3]</t>
  </si>
  <si>
    <t>SCM Board Revision ID</t>
  </si>
  <si>
    <t>100</t>
  </si>
  <si>
    <t>0x5</t>
  </si>
  <si>
    <t>All of the above and P1V8_LION is enabled.</t>
  </si>
  <si>
    <t>0x11 [2]</t>
  </si>
  <si>
    <t>IRQ_PVCCIN_CPU0_VRHOT_LVC3_N</t>
  </si>
  <si>
    <t>0x21 [4]</t>
  </si>
  <si>
    <t>FM_USB_CPU_FPGA_SELECT</t>
  </si>
  <si>
    <t>Power Good Status</t>
  </si>
  <si>
    <t>0x0C [2:0]</t>
  </si>
  <si>
    <t>HPM Board Revision ID</t>
  </si>
  <si>
    <t>011</t>
  </si>
  <si>
    <t>0x6</t>
  </si>
  <si>
    <t>All of the above and P1V0_BMC_STBY is enabled.</t>
  </si>
  <si>
    <t>0x11 [1]</t>
  </si>
  <si>
    <t>FM_CPU0_THERMTRIP_LATCH_LVT3_N</t>
  </si>
  <si>
    <t>0x21 [3]</t>
  </si>
  <si>
    <t>PSU2_ALERT_EN_N</t>
  </si>
  <si>
    <t>0x0B [7]</t>
  </si>
  <si>
    <t>HPM_STBY_RDY</t>
  </si>
  <si>
    <t>SGPIO#0 Input Data</t>
  </si>
  <si>
    <t>0x7</t>
  </si>
  <si>
    <t>All of the above and P1V07_BMC_STBY is enabled.</t>
  </si>
  <si>
    <t>0x11 [0]</t>
  </si>
  <si>
    <t>P0_SKTOCC_N</t>
  </si>
  <si>
    <t>0x21 [2]</t>
  </si>
  <si>
    <t>PSU_ALERT_PLD_EN_N</t>
  </si>
  <si>
    <t>30: 00 00 f9 0b 00 00 00 00 00 00 00 00 00 00 00 00    ..??............</t>
  </si>
  <si>
    <t>0x0B [6]</t>
  </si>
  <si>
    <t>P1V07_BMC_STBY</t>
  </si>
  <si>
    <t>10111111</t>
  </si>
  <si>
    <t>0x9</t>
  </si>
  <si>
    <t>Power ON (All of the above and HPM_STBY_RDY is ready).</t>
  </si>
  <si>
    <t>0x21 [1]</t>
  </si>
  <si>
    <t>PDB_ALERT1_EN_N</t>
  </si>
  <si>
    <t>0x0B [5]</t>
  </si>
  <si>
    <t>P1V0_BMC_STBY</t>
  </si>
  <si>
    <t>10111110</t>
  </si>
  <si>
    <t>0x21 [0]</t>
  </si>
  <si>
    <t>FM_TPM_MOD_PRES_N</t>
  </si>
  <si>
    <t>50: 00 00 00 00 00 00 00 00 00 00 00 00 00 00 00 00    ................</t>
  </si>
  <si>
    <t>0x0B [4]</t>
  </si>
  <si>
    <t>P0V8_LION_CORE</t>
  </si>
  <si>
    <t>0x12 [7:0]</t>
  </si>
  <si>
    <t>11101011</t>
  </si>
  <si>
    <t>(0x0A) Power off</t>
  </si>
  <si>
    <t>60: 00 00 00 00 00 00 00 00 00 00 00 00 00 00 00 00    ................</t>
  </si>
  <si>
    <t>0x0B [3]</t>
  </si>
  <si>
    <t>P1V2_BMC_STBY</t>
  </si>
  <si>
    <t>0x13 [7:0]</t>
  </si>
  <si>
    <t>11111000</t>
  </si>
  <si>
    <t>0xA</t>
  </si>
  <si>
    <t>P1V07_BMC_STBY_OFF</t>
  </si>
  <si>
    <t>70: 00 00 00 00 00 00 00 00 00 00 00 00 00 00 00 00    ................</t>
  </si>
  <si>
    <t>0x0B [2]</t>
  </si>
  <si>
    <t>P1V8_BMC_STBY</t>
  </si>
  <si>
    <t>0x14 [7:0]</t>
  </si>
  <si>
    <t>11111111</t>
  </si>
  <si>
    <t>0xB</t>
  </si>
  <si>
    <t>P1V0_BMC_STBY_OFF</t>
  </si>
  <si>
    <t>80: 00 00 00 00 00 00 00 00 00 00 00 00 00 00 00 00    ................</t>
  </si>
  <si>
    <t>0x0B [1]</t>
  </si>
  <si>
    <t>P2V5_BMC_STBY</t>
  </si>
  <si>
    <t>0x15 [7:0]</t>
  </si>
  <si>
    <t>0xC</t>
  </si>
  <si>
    <t>P1V8_LION_OFF</t>
  </si>
  <si>
    <t>0x0B [0]</t>
  </si>
  <si>
    <t>P3V3_STBY_SCM</t>
  </si>
  <si>
    <t>0x16 [7:0]</t>
  </si>
  <si>
    <t>0xD</t>
  </si>
  <si>
    <t>P1V2_BMC_STBY_OFF</t>
  </si>
  <si>
    <t>0x12 [7]</t>
  </si>
  <si>
    <t>PWRGD_CPU1_LVC3</t>
  </si>
  <si>
    <t>a0: 00 00 00 00 00 00 00 00 00 00 00 00 00 00 00 00    ................</t>
  </si>
  <si>
    <t>0x17 [7:0]</t>
  </si>
  <si>
    <t>10110111</t>
  </si>
  <si>
    <t>0xE</t>
  </si>
  <si>
    <t>P2V5_BMC_STBY_OFF</t>
  </si>
  <si>
    <t>0x12 [6]</t>
  </si>
  <si>
    <t>IRQ_PVCCIN_CPU1_VRHOT_LVC3_N</t>
  </si>
  <si>
    <t>0x22 [7:0]</t>
  </si>
  <si>
    <t>0x18 [7:0]</t>
  </si>
  <si>
    <t>10011111</t>
  </si>
  <si>
    <t>0xF</t>
  </si>
  <si>
    <t>P1V8_BMC_STBY_OFF</t>
  </si>
  <si>
    <t>0x12 [5]</t>
  </si>
  <si>
    <t>FM_CPU1_THERMTRIP_LATCH_LVT3_N</t>
  </si>
  <si>
    <t>0x22 [7]</t>
  </si>
  <si>
    <t>SMB_SLIVER_RST_BMC_N</t>
  </si>
  <si>
    <t>c0: 00 00 00 00 00 00 00 00 00 00 00 00 00 00 00 00    ................</t>
  </si>
  <si>
    <t>0x19 [3:0]</t>
  </si>
  <si>
    <t>0x10</t>
  </si>
  <si>
    <t>POWER_FAULT (Any power rail abruptly drops after power on)</t>
  </si>
  <si>
    <t>0x12 [4]</t>
  </si>
  <si>
    <t>P1_SKTOCC_N</t>
  </si>
  <si>
    <t>0x22 [6]</t>
  </si>
  <si>
    <t>USB_EX1_CPLD_OC_N</t>
  </si>
  <si>
    <t>SGPIO#0 OutputData</t>
  </si>
  <si>
    <t>0x12 [3]</t>
  </si>
  <si>
    <t>P1_PROCHOT_N</t>
  </si>
  <si>
    <t>0x22 [5]</t>
  </si>
  <si>
    <t>FM_BIOS_RECOVERY</t>
  </si>
  <si>
    <t>01100100</t>
  </si>
  <si>
    <t>0x12 [1]</t>
  </si>
  <si>
    <t>P1_BMC_MEMTRIP_N</t>
  </si>
  <si>
    <t>0x22 [4]</t>
  </si>
  <si>
    <t>IRQ_BMC_CPU_NMI_R</t>
  </si>
  <si>
    <t>01001100</t>
  </si>
  <si>
    <t>0x12 [0]</t>
  </si>
  <si>
    <t>H_CPU1_MEMHOT_OUT_LVC1_N</t>
  </si>
  <si>
    <t>0x22 [3]</t>
  </si>
  <si>
    <t>FM_ADR_ACK</t>
  </si>
  <si>
    <t>11011110</t>
  </si>
  <si>
    <t>0x22 [2]</t>
  </si>
  <si>
    <t>FM_ME_RECOVERY_N</t>
  </si>
  <si>
    <t>0x23 [7:0]</t>
  </si>
  <si>
    <t>11001110</t>
  </si>
  <si>
    <t>Board Revision</t>
  </si>
  <si>
    <t>0x22 [1]</t>
  </si>
  <si>
    <t>BMC_RSTBTN_OUT_N</t>
  </si>
  <si>
    <t>0x24 [7:0]</t>
  </si>
  <si>
    <t>01101111</t>
  </si>
  <si>
    <t>3'b000</t>
  </si>
  <si>
    <t>POC</t>
  </si>
  <si>
    <t>0x22 [0]</t>
  </si>
  <si>
    <t>FM_SPD_SWITCH_CTRL_N</t>
  </si>
  <si>
    <t>0x25 [7:0]</t>
  </si>
  <si>
    <t>3'b001</t>
  </si>
  <si>
    <t>EVT</t>
  </si>
  <si>
    <t>SGPIO#1 Input Data</t>
  </si>
  <si>
    <t>3'b010</t>
  </si>
  <si>
    <t>DVT</t>
  </si>
  <si>
    <t>0x28 [7:0]</t>
  </si>
  <si>
    <t>Check SGPIO 1 Data</t>
  </si>
  <si>
    <t>11111110</t>
  </si>
  <si>
    <t>3'b011</t>
  </si>
  <si>
    <t>PVT</t>
  </si>
  <si>
    <t>0x29 [7:0]</t>
  </si>
  <si>
    <t>00011111</t>
  </si>
  <si>
    <t>3'b100</t>
  </si>
  <si>
    <t>MP</t>
  </si>
  <si>
    <t>0x13 [7]</t>
  </si>
  <si>
    <t>BMC_NODE_ID_4</t>
  </si>
  <si>
    <t>SGPIO#1 Output Data</t>
  </si>
  <si>
    <t>0x13 [6]</t>
  </si>
  <si>
    <t>BMC_NODE_ID_3</t>
  </si>
  <si>
    <t>0x32 [7:0]</t>
  </si>
  <si>
    <t>11111001</t>
  </si>
  <si>
    <t>0x13 [5]</t>
  </si>
  <si>
    <t>BMC_NODE_ID_2</t>
  </si>
  <si>
    <t>0x33 [3:0]</t>
  </si>
  <si>
    <t>0x13 [4]</t>
  </si>
  <si>
    <t>BMC_NODE_ID_1</t>
  </si>
  <si>
    <t>0x23 [7]</t>
  </si>
  <si>
    <t>BMC_RSMRST_OUT</t>
  </si>
  <si>
    <t>Register for MSFT Secure IP</t>
  </si>
  <si>
    <t>0x13 [3]</t>
  </si>
  <si>
    <t>BMC_NODE_ID_0</t>
  </si>
  <si>
    <t>0x23 [6]</t>
  </si>
  <si>
    <t>MB_JTAG_TRST_N</t>
  </si>
  <si>
    <t>0x40 [7:4]</t>
  </si>
  <si>
    <t>Status Register for MSFT Secure IP</t>
  </si>
  <si>
    <t>MSFT Secue IP:</t>
  </si>
  <si>
    <t>0x13 [2]</t>
  </si>
  <si>
    <t>FM_BIOS_POST_CMPLT_N</t>
  </si>
  <si>
    <t>0x23 [5]</t>
  </si>
  <si>
    <t>BFM_BMC_READY_N</t>
  </si>
  <si>
    <t>0x40 [1:0]</t>
  </si>
  <si>
    <t>Lock/UnLock Enable Register for MSFT Secure IP</t>
  </si>
  <si>
    <t>Lock Process</t>
  </si>
  <si>
    <t>0x23 [4]</t>
  </si>
  <si>
    <t>LPC_ENABLE_ESPI_N</t>
  </si>
  <si>
    <t>0x41 [7:0]</t>
  </si>
  <si>
    <t>Detailed state of MSFT Secure IP</t>
  </si>
  <si>
    <t>Unlock Process</t>
  </si>
  <si>
    <t>0x23 [3]</t>
  </si>
  <si>
    <t>PWRBRK_SLI_OE_N</t>
  </si>
  <si>
    <t>CPLD ID/Firmware version/Release Date</t>
  </si>
  <si>
    <t>Fault Status</t>
  </si>
  <si>
    <t>0x23 [2]</t>
  </si>
  <si>
    <t>BMC_PCH_FNM</t>
  </si>
  <si>
    <t>0xF1 [7:0]</t>
  </si>
  <si>
    <t>CPLD_MAJOR_VERSION</t>
  </si>
  <si>
    <t>03</t>
  </si>
  <si>
    <t>0x23 [1]</t>
  </si>
  <si>
    <t>PBREAK_EN_N</t>
  </si>
  <si>
    <t>0xF2 [7:0]</t>
  </si>
  <si>
    <t>CPLD_MINOR_VERSION</t>
  </si>
  <si>
    <t>04</t>
  </si>
  <si>
    <t>0x23 [0]</t>
  </si>
  <si>
    <t>RM_THROTTLE_EN_N</t>
  </si>
  <si>
    <t>0xF3 [7:0]</t>
  </si>
  <si>
    <t>CPLD_SUB_VERSION</t>
  </si>
  <si>
    <t>0x40 [1]</t>
  </si>
  <si>
    <t>BMC allows CPLD to add internal lock</t>
  </si>
  <si>
    <t>0XF4 [7:0]</t>
  </si>
  <si>
    <t>RELEASE_MONTH</t>
  </si>
  <si>
    <t>05</t>
  </si>
  <si>
    <t>0x40 [0]</t>
  </si>
  <si>
    <t>BMC allows CPLD to run internal unlock</t>
  </si>
  <si>
    <t>0x14 [7]</t>
  </si>
  <si>
    <t>FM_DBP_PRESENT_N</t>
  </si>
  <si>
    <t>0XF5 [7:0]</t>
  </si>
  <si>
    <t>RELEASE_DAY</t>
  </si>
  <si>
    <t>16</t>
  </si>
  <si>
    <t>0x14 [6]</t>
  </si>
  <si>
    <t>VOLTAGE_ALERT_N</t>
  </si>
  <si>
    <t>0XF6 [7:0]</t>
  </si>
  <si>
    <t>RELEASE_YEAR</t>
  </si>
  <si>
    <t>25</t>
  </si>
  <si>
    <t>0x14 [5]</t>
  </si>
  <si>
    <t>PSU2_PS_ON_N</t>
  </si>
  <si>
    <t>0x14 [4]</t>
  </si>
  <si>
    <t>CURRENT_ALERT_N</t>
  </si>
  <si>
    <t>0x14 [3]</t>
  </si>
  <si>
    <t>HSC_GPIO2_BMC_N</t>
  </si>
  <si>
    <t>0x14 [2]</t>
  </si>
  <si>
    <t>0x24 [7]</t>
  </si>
  <si>
    <t>FM_BMC_ONCTL_N</t>
  </si>
  <si>
    <t>0x14 [1]</t>
  </si>
  <si>
    <t>FM_SLPS4_S5_N</t>
  </si>
  <si>
    <t>0x24 [6]</t>
  </si>
  <si>
    <t>FM_BMC_CRASHLOG_TRIG_N</t>
  </si>
  <si>
    <t>0x14 [0]</t>
  </si>
  <si>
    <t>BMC_NODE_ID_5</t>
  </si>
  <si>
    <t>0x24 [5]</t>
  </si>
  <si>
    <t>FM_BIOS_MRC_DEBUG_MSG_DIS_N</t>
  </si>
  <si>
    <t>0x24 [4]</t>
  </si>
  <si>
    <t>ARM_SRST_N</t>
  </si>
  <si>
    <t>0x24 [3]</t>
  </si>
  <si>
    <t>CPU_FBRK_OUT_N</t>
  </si>
  <si>
    <t>0x24 [2]</t>
  </si>
  <si>
    <t>P1_DISABLE_COD_R_N</t>
  </si>
  <si>
    <t>0x24 [1]</t>
  </si>
  <si>
    <t>IRQ_TPM_SPI_N</t>
  </si>
  <si>
    <t>0x24 [0]</t>
  </si>
  <si>
    <t>RST_PE_E1S_I2C_MUX_N</t>
  </si>
  <si>
    <t>0x15 [7]</t>
  </si>
  <si>
    <t>SMB_BMC_ALERT3_N</t>
  </si>
  <si>
    <t>0x15 [6]</t>
  </si>
  <si>
    <t>SMB_BMC_ALERT2_N</t>
  </si>
  <si>
    <t>0x15 [5]</t>
  </si>
  <si>
    <t>SMB_BMC_ALERT1_N</t>
  </si>
  <si>
    <t>0x15 [4]</t>
  </si>
  <si>
    <t>PSU2_ALERT_N</t>
  </si>
  <si>
    <t>0x15 [3]</t>
  </si>
  <si>
    <t>PSU1_ALERT_N</t>
  </si>
  <si>
    <t>0x15 [2]</t>
  </si>
  <si>
    <t>FM_SLPS3_R_N</t>
  </si>
  <si>
    <t>0x25 [3]</t>
  </si>
  <si>
    <t>FM_BMC_ENABLE</t>
  </si>
  <si>
    <t>0x15 [1]</t>
  </si>
  <si>
    <t>PSU1_BLADE_EN_N</t>
  </si>
  <si>
    <t>0x25 [2]</t>
  </si>
  <si>
    <t>TPM_BMC_ALERT_N</t>
  </si>
  <si>
    <t>0x15 [0]</t>
  </si>
  <si>
    <t>FM_PCH_BMC_THERMTRIP_N</t>
  </si>
  <si>
    <t>0x25 [1]</t>
  </si>
  <si>
    <t>FM_UEFI_DEBUG_MSG_EN</t>
  </si>
  <si>
    <t>0x25 [0]</t>
  </si>
  <si>
    <t>BMC_NVDIMM_PRSNT_N</t>
  </si>
  <si>
    <t>0x16 [7]</t>
  </si>
  <si>
    <t>SMB_BMC_ALERT11_N</t>
  </si>
  <si>
    <t>0x16 [6]</t>
  </si>
  <si>
    <t>SMB_BMC_ALERT10_N</t>
  </si>
  <si>
    <t>0x28 [7]</t>
  </si>
  <si>
    <t>CPU_RMCA_N</t>
  </si>
  <si>
    <t>0x16 [5]</t>
  </si>
  <si>
    <t>SMB_BMC_ALERT9_N</t>
  </si>
  <si>
    <t>0x28 [6]</t>
  </si>
  <si>
    <t>CPU_UNRMCA_N</t>
  </si>
  <si>
    <t>0x16 [4]</t>
  </si>
  <si>
    <t>SMB_BMC_ALERT8_N</t>
  </si>
  <si>
    <t>0x28 [5]</t>
  </si>
  <si>
    <t>PORT1_RST_AUTH_N</t>
  </si>
  <si>
    <t>0x16 [3]</t>
  </si>
  <si>
    <t>SMB_BMC_ALERT7_N</t>
  </si>
  <si>
    <t>0x28 [4]</t>
  </si>
  <si>
    <t>FM_CPU_MSMI_CATERR_LVT3_N</t>
  </si>
  <si>
    <t>0x16 [2]</t>
  </si>
  <si>
    <t>SMB_BMC_ALERT6_N</t>
  </si>
  <si>
    <t>0x28 [3]</t>
  </si>
  <si>
    <t>PSU_ALERT_N</t>
  </si>
  <si>
    <t>0x16 [1]</t>
  </si>
  <si>
    <t>SMB_BMC_ALERT5_N</t>
  </si>
  <si>
    <t>0x28 [2]</t>
  </si>
  <si>
    <t>RM_THROTTLE_N</t>
  </si>
  <si>
    <t>0x16 [0]</t>
  </si>
  <si>
    <t>SMB_BMC_ALERT4_N</t>
  </si>
  <si>
    <t>0x28 [1]</t>
  </si>
  <si>
    <t>FM_PCH_THROTTLE_R_N</t>
  </si>
  <si>
    <t>0x28 [0]</t>
  </si>
  <si>
    <t>FM_ADR_COMPLETE_BMC</t>
  </si>
  <si>
    <t>0x17 [7]</t>
  </si>
  <si>
    <t>PLD_PORST_N</t>
  </si>
  <si>
    <t>0x17 [6]</t>
  </si>
  <si>
    <t>JTAG_BMC_PLD_NRST_N</t>
  </si>
  <si>
    <t>0x29 [7]</t>
  </si>
  <si>
    <t>UART_BMC_BU6_RX</t>
  </si>
  <si>
    <t>0x17 [5]</t>
  </si>
  <si>
    <t>RST_RSMRST_PLD_N</t>
  </si>
  <si>
    <t>0x29 [6]</t>
  </si>
  <si>
    <t>UART_BMC_SI2_RX</t>
  </si>
  <si>
    <t>0x17 [4]</t>
  </si>
  <si>
    <t>PWRGD_PCH_BMC_PWROK</t>
  </si>
  <si>
    <t>0x29 [5]</t>
  </si>
  <si>
    <t>UART_BMC_BU1_RX</t>
  </si>
  <si>
    <t>0x17 [3]</t>
  </si>
  <si>
    <t>HPM_BRD_REV_ID2</t>
  </si>
  <si>
    <t>0x29 [4]</t>
  </si>
  <si>
    <t>CPU1_MON_FAIL_N</t>
  </si>
  <si>
    <t>0x17 [2]</t>
  </si>
  <si>
    <t>HPM_BRD_REV_ID1</t>
  </si>
  <si>
    <t>0x29 [3]</t>
  </si>
  <si>
    <t>CPU0_MON_FAIL_N</t>
  </si>
  <si>
    <t>0x17 [1]</t>
  </si>
  <si>
    <t>HPM_BRD_REV_ID0</t>
  </si>
  <si>
    <t>0x29 [2]</t>
  </si>
  <si>
    <t>FM_ADR_TRIGGER_N</t>
  </si>
  <si>
    <t>0x17 [0]</t>
  </si>
  <si>
    <t>SMB_BMC_ALERT12_N</t>
  </si>
  <si>
    <t>0x29 [1]</t>
  </si>
  <si>
    <t>GLB_RST_WARN_N</t>
  </si>
  <si>
    <t>0x29 [0]</t>
  </si>
  <si>
    <t>FM_THROTTLE_IN_N</t>
  </si>
  <si>
    <t>IRQ_SMI_ACTIVE_BMC_N</t>
  </si>
  <si>
    <t>CD_INIT_ERROR_1</t>
  </si>
  <si>
    <t>0x32 [7]</t>
  </si>
  <si>
    <t>UART_BMC_BU1_TX</t>
  </si>
  <si>
    <t>0x18 [5]</t>
  </si>
  <si>
    <t>CD_INIT_ERROR_0</t>
  </si>
  <si>
    <t>0x32 [6]</t>
  </si>
  <si>
    <t>BMC_FORCE_NM_THROTTLE_N</t>
  </si>
  <si>
    <t>0x18 [4]</t>
  </si>
  <si>
    <t>POWER_FAIL_R_N</t>
  </si>
  <si>
    <t>0x32 [5]</t>
  </si>
  <si>
    <t>IRQ_BMC_SMI_N</t>
  </si>
  <si>
    <t>0x18 [3]</t>
  </si>
  <si>
    <t>IRQ_HSC1_FAULT_N</t>
  </si>
  <si>
    <t>0x32 [4]</t>
  </si>
  <si>
    <t>FM_CPLD_BMC_PWRDN_PLD_N</t>
  </si>
  <si>
    <t>0x18 [2]</t>
  </si>
  <si>
    <t>IRQ_NMI_EVENT_R_N</t>
  </si>
  <si>
    <t>0x32 [3]</t>
  </si>
  <si>
    <t>BMC_PWRCAP_N</t>
  </si>
  <si>
    <t>0x18 [1]</t>
  </si>
  <si>
    <t>FM_PVCCIN_CPU1_PWR_IN_ALERT_N</t>
  </si>
  <si>
    <t>0x32 [2]</t>
  </si>
  <si>
    <t>FM_FORCE_ADR</t>
  </si>
  <si>
    <t>0x18 [0]</t>
  </si>
  <si>
    <t>FM_PVCCIN_CPU0_PWR_IN_ALERT_N</t>
  </si>
  <si>
    <t>0x32 [1]</t>
  </si>
  <si>
    <t>FM_SMM_CRASHDUMP</t>
  </si>
  <si>
    <t>0x32 [0]</t>
  </si>
  <si>
    <t>FM_PWRBRK_N</t>
  </si>
  <si>
    <t>0x19 [3]</t>
  </si>
  <si>
    <t>RM_THROTTLE_SW_N</t>
  </si>
  <si>
    <t>0x19 [2]</t>
  </si>
  <si>
    <t>FM_PCHHOT_N</t>
  </si>
  <si>
    <t>0x33 [3]</t>
  </si>
  <si>
    <t>PMB_ALERT_EN_N</t>
  </si>
  <si>
    <t>0x19 [1]</t>
  </si>
  <si>
    <t>IRQ_SML1_PMBUS_ALERT_N</t>
  </si>
  <si>
    <t>0x33 [2]</t>
  </si>
  <si>
    <t>UART_SEL</t>
  </si>
  <si>
    <t>0x19 [0]</t>
  </si>
  <si>
    <t>PWRGD_P12V_AUX</t>
  </si>
  <si>
    <t>0x33 [1]</t>
  </si>
  <si>
    <t>UART_BMC_BU6_TX</t>
  </si>
  <si>
    <t>0x33 [0]</t>
  </si>
  <si>
    <t>UART_BMC_SI2_TX</t>
  </si>
  <si>
    <t>analyze</t>
  </si>
  <si>
    <t>0x3E[7:0]</t>
    <phoneticPr fontId="4" type="noConversion"/>
  </si>
  <si>
    <t>CABLE ID</t>
    <phoneticPr fontId="4" type="noConversion"/>
  </si>
  <si>
    <t>CPU/Board ID</t>
    <phoneticPr fontId="4" type="noConversion"/>
  </si>
  <si>
    <t>DDR-Related (0x1B-0x24)</t>
    <phoneticPr fontId="4" type="noConversion"/>
  </si>
  <si>
    <t>UPI Cable ID Status (0x30-0x3F)</t>
    <phoneticPr fontId="4" type="noConversion"/>
  </si>
  <si>
    <t>0x34</t>
    <phoneticPr fontId="4" type="noConversion"/>
  </si>
  <si>
    <t>2S</t>
    <phoneticPr fontId="4" type="noConversion"/>
  </si>
  <si>
    <t>I/F Switch</t>
    <phoneticPr fontId="4" type="noConversion"/>
  </si>
  <si>
    <t>VR Fault Registers (0x90-0x96)</t>
    <phoneticPr fontId="4" type="noConversion"/>
  </si>
  <si>
    <t>Internal State (0xA0-0xA7)</t>
    <phoneticPr fontId="4" type="noConversion"/>
  </si>
  <si>
    <t>0x00[7:0]</t>
    <phoneticPr fontId="4" type="noConversion"/>
  </si>
  <si>
    <t>0x02[7:5]</t>
    <phoneticPr fontId="4" type="noConversion"/>
  </si>
  <si>
    <t>0x1B[7:0]</t>
    <phoneticPr fontId="4" type="noConversion"/>
  </si>
  <si>
    <t>DDR RESET from CPU0</t>
    <phoneticPr fontId="4" type="noConversion"/>
  </si>
  <si>
    <t>Check
DDR
presence
status.</t>
    <phoneticPr fontId="4" type="noConversion"/>
  </si>
  <si>
    <t>0x30[7:0]</t>
    <phoneticPr fontId="4" type="noConversion"/>
  </si>
  <si>
    <t>CPU0/1 SMB ALERT</t>
    <phoneticPr fontId="4" type="noConversion"/>
  </si>
  <si>
    <t>0xF6</t>
    <phoneticPr fontId="4" type="noConversion"/>
  </si>
  <si>
    <t>4S</t>
    <phoneticPr fontId="4" type="noConversion"/>
  </si>
  <si>
    <t>0x78[7:0]</t>
    <phoneticPr fontId="4" type="noConversion"/>
  </si>
  <si>
    <t>0x90[7:0]</t>
    <phoneticPr fontId="4" type="noConversion"/>
  </si>
  <si>
    <t>Debug purpose to check HPM power rail failure</t>
    <phoneticPr fontId="4" type="noConversion"/>
  </si>
  <si>
    <t>0xA0[7:0]</t>
    <phoneticPr fontId="4" type="noConversion"/>
  </si>
  <si>
    <t>0x00[7:5]</t>
    <phoneticPr fontId="4" type="noConversion"/>
  </si>
  <si>
    <t>CPU0 package ID</t>
    <phoneticPr fontId="4" type="noConversion"/>
  </si>
  <si>
    <t>POC</t>
    <phoneticPr fontId="4" type="noConversion"/>
  </si>
  <si>
    <t>0x1B[7]</t>
  </si>
  <si>
    <t xml:space="preserve">M_AB_CPU0_RESET_N	</t>
    <phoneticPr fontId="4" type="noConversion"/>
  </si>
  <si>
    <t>0x30[2]</t>
    <phoneticPr fontId="4" type="noConversion"/>
  </si>
  <si>
    <t xml:space="preserve">SMB_MM7_SEL	</t>
  </si>
  <si>
    <t>0xFE</t>
    <phoneticPr fontId="4" type="noConversion"/>
  </si>
  <si>
    <t>8S</t>
    <phoneticPr fontId="4" type="noConversion"/>
  </si>
  <si>
    <t>0x78[7]</t>
  </si>
  <si>
    <t>iFM_CPU0_JTAG_CTRL_EN_R</t>
    <phoneticPr fontId="4" type="noConversion"/>
  </si>
  <si>
    <t>0x90[7]</t>
  </si>
  <si>
    <t>vr_fail_all_or</t>
    <phoneticPr fontId="4" type="noConversion"/>
  </si>
  <si>
    <t>0xA0[7:4]</t>
    <phoneticPr fontId="4" type="noConversion"/>
  </si>
  <si>
    <t>Determine CPU SKU or 1P/2P/Mismatched/No CPU</t>
    <phoneticPr fontId="4" type="noConversion"/>
  </si>
  <si>
    <t>0x00[4:3]</t>
    <phoneticPr fontId="4" type="noConversion"/>
  </si>
  <si>
    <t>CPU0 processor ID</t>
    <phoneticPr fontId="4" type="noConversion"/>
  </si>
  <si>
    <t>EVT</t>
    <phoneticPr fontId="4" type="noConversion"/>
  </si>
  <si>
    <t>0x1B[6]</t>
  </si>
  <si>
    <t>M_CD_CPU0_RESET_N</t>
    <phoneticPr fontId="4" type="noConversion"/>
  </si>
  <si>
    <t>0x30[1]</t>
    <phoneticPr fontId="4" type="noConversion"/>
  </si>
  <si>
    <t xml:space="preserve">SMB_MM6_SEL	</t>
  </si>
  <si>
    <t>0x78[6]</t>
  </si>
  <si>
    <t>iFM_CPU1_JTAG_CTRL_EN_R</t>
    <phoneticPr fontId="4" type="noConversion"/>
  </si>
  <si>
    <t>0x90[6]</t>
  </si>
  <si>
    <t>p1v8_aux_fail</t>
    <phoneticPr fontId="4" type="noConversion"/>
  </si>
  <si>
    <t>0x00[2]</t>
    <phoneticPr fontId="4" type="noConversion"/>
  </si>
  <si>
    <t>CPU0 SKTOCC enable to CPLD</t>
    <phoneticPr fontId="4" type="noConversion"/>
  </si>
  <si>
    <t xml:space="preserve">DVT </t>
    <phoneticPr fontId="4" type="noConversion"/>
  </si>
  <si>
    <t>0x1B[5]</t>
  </si>
  <si>
    <t>M_EF_CPU0_RESET_N</t>
    <phoneticPr fontId="4" type="noConversion"/>
  </si>
  <si>
    <t>0x30[0]</t>
    <phoneticPr fontId="4" type="noConversion"/>
  </si>
  <si>
    <t xml:space="preserve">1' indicates BIOS read/write, 0 indicates BMC read/write. </t>
    <phoneticPr fontId="4" type="noConversion"/>
  </si>
  <si>
    <t>0x3F[5:4]</t>
  </si>
  <si>
    <t>SLED</t>
  </si>
  <si>
    <t>0x78[5]</t>
  </si>
  <si>
    <t>iFM_TDO_ISO_SW_R</t>
    <phoneticPr fontId="4" type="noConversion"/>
  </si>
  <si>
    <t>0x90[5]</t>
  </si>
  <si>
    <t>p1v05_aux_fail</t>
    <phoneticPr fontId="4" type="noConversion"/>
  </si>
  <si>
    <t>0xA1[7:0]</t>
    <phoneticPr fontId="4" type="noConversion"/>
  </si>
  <si>
    <t>0x01[7:0]</t>
    <phoneticPr fontId="4" type="noConversion"/>
  </si>
  <si>
    <t>PVT</t>
    <phoneticPr fontId="4" type="noConversion"/>
  </si>
  <si>
    <t>0x1B[4]</t>
  </si>
  <si>
    <t>M_GH_CPU0_RESET_N</t>
    <phoneticPr fontId="4" type="noConversion"/>
  </si>
  <si>
    <t>CABLE ID information from the PCA9555</t>
    <phoneticPr fontId="4" type="noConversion"/>
  </si>
  <si>
    <t>SLED0</t>
  </si>
  <si>
    <t>0x78[4]</t>
  </si>
  <si>
    <t>iFM_TDO_MUX_SEL_R</t>
  </si>
  <si>
    <t>0x90[4]</t>
  </si>
  <si>
    <t>pvccfa_ehv_cpu0_fail</t>
    <phoneticPr fontId="4" type="noConversion"/>
  </si>
  <si>
    <t>0xA1[7:5]</t>
    <phoneticPr fontId="4" type="noConversion"/>
  </si>
  <si>
    <t>0x01[7:5]</t>
    <phoneticPr fontId="4" type="noConversion"/>
  </si>
  <si>
    <t>CPU1 package ID</t>
    <phoneticPr fontId="4" type="noConversion"/>
  </si>
  <si>
    <t>MP</t>
    <phoneticPr fontId="4" type="noConversion"/>
  </si>
  <si>
    <t>0x1C[7:0]</t>
  </si>
  <si>
    <t>Indicate DDR AB/CD/EF/GH RESET</t>
    <phoneticPr fontId="4" type="noConversion"/>
  </si>
  <si>
    <t>SLED1</t>
  </si>
  <si>
    <t>0x78[3]</t>
  </si>
  <si>
    <t>iFM_UART2_FPGA_SELECT</t>
  </si>
  <si>
    <t>0x90[3]</t>
  </si>
  <si>
    <t>pvccfa_ehv_cpu1_fail</t>
    <phoneticPr fontId="4" type="noConversion"/>
  </si>
  <si>
    <t>0xA1[4:2]</t>
    <phoneticPr fontId="4" type="noConversion"/>
  </si>
  <si>
    <t>0x01[4:3]</t>
    <phoneticPr fontId="4" type="noConversion"/>
  </si>
  <si>
    <t>CPU1 processor ID</t>
    <phoneticPr fontId="4" type="noConversion"/>
  </si>
  <si>
    <t>0x1C[7]</t>
  </si>
  <si>
    <t>M_AB_CPU0_FPGA_RESET_R_N</t>
    <phoneticPr fontId="4" type="noConversion"/>
  </si>
  <si>
    <t>0x3E[7]</t>
  </si>
  <si>
    <t>UPI1_CPU0_PRSNT1_N_R</t>
  </si>
  <si>
    <t>2.08.00
removed</t>
    <phoneticPr fontId="4" type="noConversion"/>
  </si>
  <si>
    <t>SLED2</t>
  </si>
  <si>
    <t>0x78[2]</t>
  </si>
  <si>
    <t>iFM_USB_CPU_FPGA_SELECT</t>
  </si>
  <si>
    <t>0x90[2]</t>
  </si>
  <si>
    <t>pvnn_main_cpu0_fail</t>
    <phoneticPr fontId="4" type="noConversion"/>
  </si>
  <si>
    <t>0xA2[7:0]</t>
    <phoneticPr fontId="4" type="noConversion"/>
  </si>
  <si>
    <t>0x01[2]</t>
    <phoneticPr fontId="4" type="noConversion"/>
  </si>
  <si>
    <t>CPU1 SKTOCC enable to CPLD</t>
    <phoneticPr fontId="4" type="noConversion"/>
  </si>
  <si>
    <t>0x03[3:2]</t>
    <phoneticPr fontId="4" type="noConversion"/>
  </si>
  <si>
    <t>mode configuration</t>
    <phoneticPr fontId="4" type="noConversion"/>
  </si>
  <si>
    <t>0x1C[6]</t>
  </si>
  <si>
    <t>M_CD_CPU0_FPGA_RESET_R_N</t>
    <phoneticPr fontId="4" type="noConversion"/>
  </si>
  <si>
    <t>0x3E[6]</t>
  </si>
  <si>
    <t>UPI1_CPU0_ID0_R</t>
  </si>
  <si>
    <t>SLED3</t>
  </si>
  <si>
    <t>0x78[1]</t>
  </si>
  <si>
    <t>0x90[1]</t>
  </si>
  <si>
    <t>pvnn_main_cpu1_fail</t>
    <phoneticPr fontId="4" type="noConversion"/>
  </si>
  <si>
    <t>0xA2[7:4]</t>
    <phoneticPr fontId="4" type="noConversion"/>
  </si>
  <si>
    <t>PSU Status</t>
  </si>
  <si>
    <t>0x02[7:0]</t>
    <phoneticPr fontId="4" type="noConversion"/>
  </si>
  <si>
    <t>HPM REVISION ID</t>
    <phoneticPr fontId="4" type="noConversion"/>
  </si>
  <si>
    <t>2S</t>
  </si>
  <si>
    <t>0x1C[5]</t>
  </si>
  <si>
    <t xml:space="preserve">M_EF_CPU0_FPGA_RESET_R_N	</t>
    <phoneticPr fontId="4" type="noConversion"/>
  </si>
  <si>
    <t>0x3E[5]</t>
  </si>
  <si>
    <t>UPI3_CPU1_ID0_R</t>
    <phoneticPr fontId="4" type="noConversion"/>
  </si>
  <si>
    <t>0x78[0]</t>
    <phoneticPr fontId="4" type="noConversion"/>
  </si>
  <si>
    <t>0x90[0]</t>
  </si>
  <si>
    <t>p12v_main_fail</t>
    <phoneticPr fontId="4" type="noConversion"/>
  </si>
  <si>
    <t>0xA3[7:0]</t>
    <phoneticPr fontId="4" type="noConversion"/>
  </si>
  <si>
    <t>HPM REVISION ID[0:2]</t>
    <phoneticPr fontId="4" type="noConversion"/>
  </si>
  <si>
    <t>4S</t>
  </si>
  <si>
    <t>0x1C[4]</t>
  </si>
  <si>
    <t>M_GH_CPU0_FPGA_RESET_R_N</t>
    <phoneticPr fontId="4" type="noConversion"/>
  </si>
  <si>
    <t>0x3E[4]</t>
  </si>
  <si>
    <t>UPI3_CPU1_ID1_R</t>
    <phoneticPr fontId="4" type="noConversion"/>
  </si>
  <si>
    <t xml:space="preserve">0x3F[3:0] </t>
    <phoneticPr fontId="4" type="noConversion"/>
  </si>
  <si>
    <t>Mode</t>
  </si>
  <si>
    <t>0x91[7:0]</t>
    <phoneticPr fontId="4" type="noConversion"/>
  </si>
  <si>
    <t>0xA3[7:4]</t>
    <phoneticPr fontId="4" type="noConversion"/>
  </si>
  <si>
    <t>CPU0 Memory Power Rail Status</t>
    <phoneticPr fontId="4" type="noConversion"/>
  </si>
  <si>
    <t>0x02[3:0]</t>
    <phoneticPr fontId="4" type="noConversion"/>
  </si>
  <si>
    <t>HPM REVISION ID[2:0]</t>
    <phoneticPr fontId="4" type="noConversion"/>
  </si>
  <si>
    <t>0x1D[7:0]</t>
  </si>
  <si>
    <t>DDR RESET from CPU1</t>
    <phoneticPr fontId="4" type="noConversion"/>
  </si>
  <si>
    <t>0x3E[3]</t>
  </si>
  <si>
    <t>UPI2_CPU1_PRSNT2_N_R</t>
    <phoneticPr fontId="4" type="noConversion"/>
  </si>
  <si>
    <t>0x5</t>
    <phoneticPr fontId="4" type="noConversion"/>
  </si>
  <si>
    <t>0x91[7]</t>
  </si>
  <si>
    <t>p12v_edsff_fail</t>
    <phoneticPr fontId="4" type="noConversion"/>
  </si>
  <si>
    <t>0xA3[3:0]</t>
    <phoneticPr fontId="4" type="noConversion"/>
  </si>
  <si>
    <t>CPU1 Memory Power Rail Status</t>
  </si>
  <si>
    <t>0x03[7:0]</t>
    <phoneticPr fontId="4" type="noConversion"/>
  </si>
  <si>
    <t>configuration</t>
    <phoneticPr fontId="4" type="noConversion"/>
  </si>
  <si>
    <t>Else (Default to 2S)</t>
  </si>
  <si>
    <t xml:space="preserve">M_AB_CPU1_RESET_N	</t>
    <phoneticPr fontId="4" type="noConversion"/>
  </si>
  <si>
    <t>0x3E[2]</t>
  </si>
  <si>
    <t>UPI2_CPU1_ID1_R</t>
  </si>
  <si>
    <t>ARM JTAG ICE topology allowed for BMC debugging</t>
    <phoneticPr fontId="4" type="noConversion"/>
  </si>
  <si>
    <t>0x91[6]</t>
  </si>
  <si>
    <t>p3v3_main_fail</t>
    <phoneticPr fontId="4" type="noConversion"/>
  </si>
  <si>
    <t>0xA4[7:0]</t>
    <phoneticPr fontId="4" type="noConversion"/>
  </si>
  <si>
    <t>mode configuration</t>
  </si>
  <si>
    <t>M_CD_CPU1_RESET_N</t>
    <phoneticPr fontId="4" type="noConversion"/>
  </si>
  <si>
    <t>0x3E[1]</t>
  </si>
  <si>
    <t>UPI0_CPU1_PRSNT2_N_R</t>
  </si>
  <si>
    <t>0x7B[7:0]</t>
    <phoneticPr fontId="4" type="noConversion"/>
  </si>
  <si>
    <t>0x91[5]</t>
  </si>
  <si>
    <t>pvccd0_hv_cpu0_fail</t>
    <phoneticPr fontId="4" type="noConversion"/>
  </si>
  <si>
    <t>0xA4[7:5]</t>
    <phoneticPr fontId="4" type="noConversion"/>
  </si>
  <si>
    <t>0x03[1:0]</t>
    <phoneticPr fontId="4" type="noConversion"/>
  </si>
  <si>
    <t>Node ID</t>
    <phoneticPr fontId="4" type="noConversion"/>
  </si>
  <si>
    <t>M_EF_CPU1_RESET_N</t>
  </si>
  <si>
    <t>0x3E[0]</t>
  </si>
  <si>
    <t>UPI0_CPU1_ID0_R</t>
  </si>
  <si>
    <t>0x7B[7]</t>
    <phoneticPr fontId="4" type="noConversion"/>
  </si>
  <si>
    <t>iFM_USB_FPNL_OC_R_N</t>
  </si>
  <si>
    <t>0x91[4]</t>
  </si>
  <si>
    <t>pvccd1_hv_cpu0_fail</t>
    <phoneticPr fontId="4" type="noConversion"/>
  </si>
  <si>
    <t>0xA4[4:2]</t>
    <phoneticPr fontId="4" type="noConversion"/>
  </si>
  <si>
    <t>0x04[7:0]</t>
    <phoneticPr fontId="4" type="noConversion"/>
  </si>
  <si>
    <t>BMC WOL function</t>
    <phoneticPr fontId="4" type="noConversion"/>
  </si>
  <si>
    <t>M_GH_CPU1_RESET_N</t>
    <phoneticPr fontId="4" type="noConversion"/>
  </si>
  <si>
    <t>0x3F[7:0]</t>
    <phoneticPr fontId="4" type="noConversion"/>
  </si>
  <si>
    <t>0x7B[6]</t>
    <phoneticPr fontId="4" type="noConversion"/>
  </si>
  <si>
    <t>iRST_USBCTL_PERST_N</t>
    <phoneticPr fontId="4" type="noConversion"/>
  </si>
  <si>
    <t>0x91[3]</t>
  </si>
  <si>
    <t>pvccd0_hv_cpu1_fail</t>
    <phoneticPr fontId="4" type="noConversion"/>
  </si>
  <si>
    <t>0xA5[7:0]</t>
    <phoneticPr fontId="4" type="noConversion"/>
  </si>
  <si>
    <t>root_state -- pwr_stat</t>
    <phoneticPr fontId="4" type="noConversion"/>
  </si>
  <si>
    <t>Paste LOG Here ( i2cdump -y -a -f 5 0x30 )</t>
  </si>
  <si>
    <t>0x04</t>
  </si>
  <si>
    <t>iwWOL_OUT</t>
    <phoneticPr fontId="4" type="noConversion"/>
  </si>
  <si>
    <t>0x1E[7:0]</t>
  </si>
  <si>
    <t xml:space="preserve">0x3F[5:4] </t>
    <phoneticPr fontId="4" type="noConversion"/>
  </si>
  <si>
    <t>0x91[2]</t>
  </si>
  <si>
    <t>pvccd1_hv_cpu1_fail</t>
    <phoneticPr fontId="4" type="noConversion"/>
  </si>
  <si>
    <t>0xA6[7:0]</t>
    <phoneticPr fontId="4" type="noConversion"/>
  </si>
  <si>
    <t>SGPIO Link Status</t>
    <phoneticPr fontId="4" type="noConversion"/>
  </si>
  <si>
    <t>iwWOL_IN</t>
    <phoneticPr fontId="4" type="noConversion"/>
  </si>
  <si>
    <t>0x1E[7]</t>
  </si>
  <si>
    <t>M_AB_CPU1_FPGA_RESET_R_N</t>
  </si>
  <si>
    <t>0x91[1]</t>
  </si>
  <si>
    <t>pvccfa_ehv_fivra_cpu0_fail</t>
    <phoneticPr fontId="4" type="noConversion"/>
  </si>
  <si>
    <t>0xA6[7:6]</t>
    <phoneticPr fontId="4" type="noConversion"/>
  </si>
  <si>
    <t>(CPLD1-SCM)SGPIO Link Status 1 meas link is OK</t>
    <phoneticPr fontId="4" type="noConversion"/>
  </si>
  <si>
    <t>0x1E[6]</t>
  </si>
  <si>
    <t>M_CD_CPU1_FPGA_RESET_R_N</t>
    <phoneticPr fontId="4" type="noConversion"/>
  </si>
  <si>
    <t>0x91[0]</t>
  </si>
  <si>
    <t>pvccfa_ehv_fivra_cpu1_fail</t>
    <phoneticPr fontId="4" type="noConversion"/>
  </si>
  <si>
    <t>0xA7</t>
    <phoneticPr fontId="4" type="noConversion"/>
  </si>
  <si>
    <t>XDP mode status</t>
    <phoneticPr fontId="4" type="noConversion"/>
  </si>
  <si>
    <t>(00)00000000</t>
  </si>
  <si>
    <t>INIT</t>
  </si>
  <si>
    <t>0x1E[5]</t>
  </si>
  <si>
    <t>M_EF_CPU1_FPGA_RESET_R_N</t>
    <phoneticPr fontId="4" type="noConversion"/>
  </si>
  <si>
    <t>0x7E[7:0]</t>
    <phoneticPr fontId="4" type="noConversion"/>
  </si>
  <si>
    <t>0x92[7:0]</t>
    <phoneticPr fontId="4" type="noConversion"/>
  </si>
  <si>
    <t>0xA7[7:4]</t>
    <phoneticPr fontId="4" type="noConversion"/>
  </si>
  <si>
    <t xml:space="preserve">[07:04] : pmode_state </t>
    <phoneticPr fontId="4" type="noConversion"/>
  </si>
  <si>
    <t>(01)00000001</t>
  </si>
  <si>
    <t>Debug/Jumper</t>
    <phoneticPr fontId="4" type="noConversion"/>
  </si>
  <si>
    <t>0x07[1:0]</t>
    <phoneticPr fontId="4" type="noConversion"/>
  </si>
  <si>
    <t>cable mode configuration</t>
    <phoneticPr fontId="4" type="noConversion"/>
  </si>
  <si>
    <t>0x1E[4]</t>
  </si>
  <si>
    <t>M_GH_CPU1_FPGA_RESET_R_N</t>
    <phoneticPr fontId="4" type="noConversion"/>
  </si>
  <si>
    <t>0x7E[7]</t>
  </si>
  <si>
    <t>iRST_DBP_RST_CO_P3V3_N</t>
  </si>
  <si>
    <t>no use</t>
    <phoneticPr fontId="4" type="noConversion"/>
  </si>
  <si>
    <t>0x92[7]</t>
  </si>
  <si>
    <t>pvccinf_cpu0_fail</t>
    <phoneticPr fontId="4" type="noConversion"/>
  </si>
  <si>
    <t>0xA7[3]</t>
    <phoneticPr fontId="4" type="noConversion"/>
  </si>
  <si>
    <t>03: counter_state -- Pmode.sv</t>
    <phoneticPr fontId="4" type="noConversion"/>
  </si>
  <si>
    <t>(02)00000010</t>
  </si>
  <si>
    <t>P1V8_AUX PWRGD</t>
    <phoneticPr fontId="4" type="noConversion"/>
  </si>
  <si>
    <t>0x05[7:0]</t>
    <phoneticPr fontId="4" type="noConversion"/>
  </si>
  <si>
    <t>XDP Debug</t>
  </si>
  <si>
    <t>0x1F[7:0]</t>
  </si>
  <si>
    <t>Indicate CPU0 DIMM power good</t>
    <phoneticPr fontId="4" type="noConversion"/>
  </si>
  <si>
    <t>oFM_NODE_ID1</t>
  </si>
  <si>
    <t>0x7E[6]</t>
  </si>
  <si>
    <t>iFM_DBP_PRESENT_N</t>
  </si>
  <si>
    <t>sgpio_rx[24]</t>
    <phoneticPr fontId="4" type="noConversion"/>
  </si>
  <si>
    <t>0x92[6]</t>
  </si>
  <si>
    <t>pvccinf_cpu1_fail</t>
    <phoneticPr fontId="4" type="noConversion"/>
  </si>
  <si>
    <t>0xA7[2:1]</t>
    <phoneticPr fontId="4" type="noConversion"/>
  </si>
  <si>
    <t>[02:01] : transmit_a_pmode_packet_state</t>
    <phoneticPr fontId="4" type="noConversion"/>
  </si>
  <si>
    <t>(03)00000011</t>
  </si>
  <si>
    <t>P1V05_AUX PWRGD</t>
    <phoneticPr fontId="4" type="noConversion"/>
  </si>
  <si>
    <t>0x05[7]</t>
    <phoneticPr fontId="4" type="noConversion"/>
  </si>
  <si>
    <t>DBP_PMODE_R</t>
  </si>
  <si>
    <t>0x1F[7]</t>
  </si>
  <si>
    <t xml:space="preserve">PWRGD_FAIL_CPU0_AB_PLD	</t>
    <phoneticPr fontId="4" type="noConversion"/>
  </si>
  <si>
    <t>oFM_NODE_ID0</t>
    <phoneticPr fontId="4" type="noConversion"/>
  </si>
  <si>
    <t>0x7E[5]</t>
  </si>
  <si>
    <t>iPDB_ALERT3_EN_N</t>
  </si>
  <si>
    <t>0x92[5]</t>
  </si>
  <si>
    <t>pvccin_cpu0_fail</t>
    <phoneticPr fontId="4" type="noConversion"/>
  </si>
  <si>
    <t>0xA8</t>
    <phoneticPr fontId="4" type="noConversion"/>
  </si>
  <si>
    <t>SGPIO Link Status(CPLD1-CPLD2)(CPLD1-PDB)</t>
    <phoneticPr fontId="4" type="noConversion"/>
  </si>
  <si>
    <t>(04)00000100</t>
  </si>
  <si>
    <t xml:space="preserve">PVCCFA_EHV_CPU0 PWRGD </t>
    <phoneticPr fontId="4" type="noConversion"/>
  </si>
  <si>
    <t>0x05[3]</t>
    <phoneticPr fontId="4" type="noConversion"/>
  </si>
  <si>
    <t>FM_MBP01_ISO_SW_R</t>
  </si>
  <si>
    <t>0x1F[6]</t>
  </si>
  <si>
    <t>PWRGD_FAIL_CPU0_CD_PLD</t>
    <phoneticPr fontId="4" type="noConversion"/>
  </si>
  <si>
    <t>UPI3_CPU0_PRSNT1_N_R</t>
  </si>
  <si>
    <t>0x7E[4]</t>
  </si>
  <si>
    <t>iBMC_PWRCAP_N</t>
  </si>
  <si>
    <t>0x92[4]</t>
  </si>
  <si>
    <t>pvccin_cpu1_fail</t>
    <phoneticPr fontId="4" type="noConversion"/>
  </si>
  <si>
    <t>0xA8[7:2]</t>
    <phoneticPr fontId="4" type="noConversion"/>
  </si>
  <si>
    <t>pdb_alert1_en_n_ovr</t>
  </si>
  <si>
    <t>(05)00000101</t>
  </si>
  <si>
    <t>PVNN_MAIN_CPU0 PWRGD</t>
    <phoneticPr fontId="4" type="noConversion"/>
  </si>
  <si>
    <t>0x06[7:0]</t>
    <phoneticPr fontId="4" type="noConversion"/>
  </si>
  <si>
    <t>BIOS IMAGE SWAP (GPP_D_19)</t>
  </si>
  <si>
    <t>Else (Default to 2S) Please check UPI cable!!</t>
    <phoneticPr fontId="4" type="noConversion"/>
  </si>
  <si>
    <t>0x1F[5]</t>
  </si>
  <si>
    <t>PWRGD_FAIL_CPU0_EF_PLD</t>
    <phoneticPr fontId="4" type="noConversion"/>
  </si>
  <si>
    <t>UPI3_CPU0_ID0_R</t>
    <phoneticPr fontId="4" type="noConversion"/>
  </si>
  <si>
    <t>0x7E[3]</t>
  </si>
  <si>
    <t>iBMC_FORCE_NM_THROTTLE_EN_N</t>
  </si>
  <si>
    <t>0xA8[1]</t>
    <phoneticPr fontId="4" type="noConversion"/>
  </si>
  <si>
    <t>isgpio_hpm1_to_glb_link</t>
  </si>
  <si>
    <t>(06)00000110</t>
  </si>
  <si>
    <t>HPM_STBY_RST</t>
  </si>
  <si>
    <t>0x06[7]</t>
    <phoneticPr fontId="4" type="noConversion"/>
  </si>
  <si>
    <t>FM_BIOS_IMAGE_SWAP</t>
    <phoneticPr fontId="4" type="noConversion"/>
  </si>
  <si>
    <t>0x1F[4]</t>
  </si>
  <si>
    <t>PWRGD_FAIL_CPU0_GH_PLD</t>
    <phoneticPr fontId="4" type="noConversion"/>
  </si>
  <si>
    <t>UPI2_CPU0_PRSNT1_N_R</t>
  </si>
  <si>
    <t>0x7E[2]</t>
  </si>
  <si>
    <t>iRM_THROTTLE_EN_N</t>
    <phoneticPr fontId="4" type="noConversion"/>
  </si>
  <si>
    <t>0xA8[0]</t>
    <phoneticPr fontId="4" type="noConversion"/>
  </si>
  <si>
    <t>isgpio_hpm1_to_hpm2_link</t>
  </si>
  <si>
    <t>(07)00000111</t>
  </si>
  <si>
    <t>AUX_PWRGD_CPU0_PLD</t>
  </si>
  <si>
    <t>0x07[7:0]</t>
    <phoneticPr fontId="4" type="noConversion"/>
  </si>
  <si>
    <t>0x20[7:0]</t>
  </si>
  <si>
    <t>Indicate CPU1 DIMM power good</t>
    <phoneticPr fontId="4" type="noConversion"/>
  </si>
  <si>
    <t>UPI2_CPU0_ID1_R</t>
  </si>
  <si>
    <t>0x7E[1]</t>
  </si>
  <si>
    <t>iPMB_ALERT_EN_N</t>
  </si>
  <si>
    <t>Critical/Warning Signals Override Status</t>
    <phoneticPr fontId="4" type="noConversion"/>
  </si>
  <si>
    <t>0xA9[7:0]</t>
    <phoneticPr fontId="4" type="noConversion"/>
  </si>
  <si>
    <t>SGPIO Link CRC ERROR (CPLD1-CPLD2)</t>
    <phoneticPr fontId="4" type="noConversion"/>
  </si>
  <si>
    <t>(08)00001000</t>
  </si>
  <si>
    <t xml:space="preserve"> SLPS4_N &amp; SLP_S3_N is on</t>
    <phoneticPr fontId="4" type="noConversion"/>
  </si>
  <si>
    <t>0x20[7]</t>
  </si>
  <si>
    <t xml:space="preserve">PWRGD_FAIL_CPU1_AB_PLD	</t>
    <phoneticPr fontId="4" type="noConversion"/>
  </si>
  <si>
    <t>If any above doesn’t match the machine setup, please check the cable connections.</t>
    <phoneticPr fontId="4" type="noConversion"/>
  </si>
  <si>
    <t>0x7E[0]</t>
    <phoneticPr fontId="4" type="noConversion"/>
  </si>
  <si>
    <t>iPBREAK_EN_N</t>
  </si>
  <si>
    <t>0x97[7:0]</t>
    <phoneticPr fontId="4" type="noConversion"/>
  </si>
  <si>
    <t>Debug purpose to check CPLD sGPIO which is critical and will impact system boot up</t>
    <phoneticPr fontId="4" type="noConversion"/>
  </si>
  <si>
    <t>0xAA[7:0]</t>
    <phoneticPr fontId="4" type="noConversion"/>
  </si>
  <si>
    <t>SGPIO Link good cnt (CPLD1-CPLD2)</t>
    <phoneticPr fontId="4" type="noConversion"/>
  </si>
  <si>
    <t>&gt;0</t>
    <phoneticPr fontId="4" type="noConversion"/>
  </si>
  <si>
    <t>(09)00001001</t>
  </si>
  <si>
    <t>P12V_MAIN PWRGD</t>
    <phoneticPr fontId="4" type="noConversion"/>
  </si>
  <si>
    <t>0x20[6]</t>
  </si>
  <si>
    <t xml:space="preserve">PWRGD_FAIL_CPU1_CD_PLD	</t>
    <phoneticPr fontId="4" type="noConversion"/>
  </si>
  <si>
    <t>0x97[7]</t>
  </si>
  <si>
    <t>critical_ovr_all_or</t>
    <phoneticPr fontId="4" type="noConversion"/>
  </si>
  <si>
    <t>0xAB[7:0]</t>
    <phoneticPr fontId="4" type="noConversion"/>
  </si>
  <si>
    <t>SGPIO Link CRC ERROR(CPLD1-PDB)</t>
  </si>
  <si>
    <t>(0A)00001010</t>
  </si>
  <si>
    <t>P3V3_MAIN PWRGD</t>
    <phoneticPr fontId="4" type="noConversion"/>
  </si>
  <si>
    <t>0x20[5]</t>
  </si>
  <si>
    <t>PWRGD_FAIL_CPU1_EF_PLD</t>
    <phoneticPr fontId="4" type="noConversion"/>
  </si>
  <si>
    <t>0x97[6]</t>
  </si>
  <si>
    <t>h_cpu_caterr_lvc1_n_ovr</t>
    <phoneticPr fontId="4" type="noConversion"/>
  </si>
  <si>
    <t>0xAC[7:0]</t>
    <phoneticPr fontId="4" type="noConversion"/>
  </si>
  <si>
    <t>SGPIO Link good cnt(CPLD1-PDB)</t>
    <phoneticPr fontId="4" type="noConversion"/>
  </si>
  <si>
    <t>(0B)00001011</t>
  </si>
  <si>
    <t>PVCCFA_EHV_CPU1 PWRGD</t>
    <phoneticPr fontId="4" type="noConversion"/>
  </si>
  <si>
    <t>Standby VR EN /PWRGD</t>
    <phoneticPr fontId="4" type="noConversion"/>
  </si>
  <si>
    <t>0x20[4]</t>
  </si>
  <si>
    <t xml:space="preserve">PWRGD_FAIL_CPU1_GH_PLD	</t>
    <phoneticPr fontId="4" type="noConversion"/>
  </si>
  <si>
    <t>0x97[5]</t>
  </si>
  <si>
    <t>port1_rst_auth_n_ovr</t>
    <phoneticPr fontId="4" type="noConversion"/>
  </si>
  <si>
    <t>0xAD[7:0]</t>
    <phoneticPr fontId="4" type="noConversion"/>
  </si>
  <si>
    <t>CXL_ThermalTrip_cut_power:'1',MCIO_PWR_EN Without change. '0',MCIO_PWR_EN push 0.</t>
    <phoneticPr fontId="4" type="noConversion"/>
  </si>
  <si>
    <t>(0C)00001100</t>
  </si>
  <si>
    <t>PVNN_MAIN_CPU1 PWRGD</t>
    <phoneticPr fontId="4" type="noConversion"/>
  </si>
  <si>
    <t>d0: 00 00 00 00 69 00 00 fe 00 00 00 00 00 00 00 00    ....i..?........</t>
  </si>
  <si>
    <t>0x09[7:0]</t>
    <phoneticPr fontId="4" type="noConversion"/>
  </si>
  <si>
    <t>VR enable signal</t>
  </si>
  <si>
    <t>0x21[7:0]</t>
  </si>
  <si>
    <t>CPU0 DRAM power good</t>
    <phoneticPr fontId="4" type="noConversion"/>
  </si>
  <si>
    <t>CXL (0X40-0X4F)</t>
    <phoneticPr fontId="4" type="noConversion"/>
  </si>
  <si>
    <t>0x81[7:0]</t>
    <phoneticPr fontId="4" type="noConversion"/>
  </si>
  <si>
    <t>0x97[4]</t>
  </si>
  <si>
    <t>0xAD[2]</t>
    <phoneticPr fontId="4" type="noConversion"/>
  </si>
  <si>
    <t>P12V_CXL_PG</t>
    <phoneticPr fontId="4" type="noConversion"/>
  </si>
  <si>
    <t>(0D)00001101</t>
  </si>
  <si>
    <t>PWRGD_AUX_PWRGD_CPU1_PLD</t>
  </si>
  <si>
    <t>0x09[7]</t>
    <phoneticPr fontId="4" type="noConversion"/>
  </si>
  <si>
    <t>FM_PVCC3V3_AUX_CPU0_EN(S5)</t>
    <phoneticPr fontId="4" type="noConversion"/>
  </si>
  <si>
    <t>0x21[7]</t>
  </si>
  <si>
    <t xml:space="preserve">PWRGD_DRAMPWRGD_CPU0_AB_R_LVC3	</t>
    <phoneticPr fontId="4" type="noConversion"/>
  </si>
  <si>
    <t>0x40[7:0]</t>
    <phoneticPr fontId="4" type="noConversion"/>
  </si>
  <si>
    <t>Indicate CXL devices reset control</t>
    <phoneticPr fontId="4" type="noConversion"/>
  </si>
  <si>
    <t>0x81[7]</t>
  </si>
  <si>
    <t>iSMB_EXPANDER_RST_N</t>
  </si>
  <si>
    <t>0x97[3]</t>
  </si>
  <si>
    <t>h_cpu_rmca_lvc1_n_ovr</t>
    <phoneticPr fontId="4" type="noConversion"/>
  </si>
  <si>
    <t>0xAD[0]</t>
    <phoneticPr fontId="4" type="noConversion"/>
  </si>
  <si>
    <t xml:space="preserve">CXL_ThermalTrip_cut_power:Default =1. </t>
    <phoneticPr fontId="4" type="noConversion"/>
  </si>
  <si>
    <t>(0E)00001110</t>
  </si>
  <si>
    <t>PWRGD_PVCCD_HV_CPU0</t>
  </si>
  <si>
    <t>0x09[6]</t>
    <phoneticPr fontId="4" type="noConversion"/>
  </si>
  <si>
    <t>FM_PVCC3V3_AUX_CPU1_EN(S0)</t>
    <phoneticPr fontId="4" type="noConversion"/>
  </si>
  <si>
    <t>0x21[6]</t>
  </si>
  <si>
    <t xml:space="preserve">PWRGD_DRAMPWRGD_CPU0_CD_R_LVC3	</t>
    <phoneticPr fontId="4" type="noConversion"/>
  </si>
  <si>
    <t>0x40[7]</t>
    <phoneticPr fontId="4" type="noConversion"/>
  </si>
  <si>
    <t>RST_CPU_PE_MCIO_PERST_N</t>
    <phoneticPr fontId="4" type="noConversion"/>
  </si>
  <si>
    <t>0x81[6]</t>
  </si>
  <si>
    <t>iRST_PCIE_SMB_N</t>
    <phoneticPr fontId="4" type="noConversion"/>
  </si>
  <si>
    <t>0x97[2]</t>
  </si>
  <si>
    <t>fm_cpu0_glb_rst_warn_pld_n_ovr</t>
    <phoneticPr fontId="4" type="noConversion"/>
  </si>
  <si>
    <t>(0F)00001111</t>
  </si>
  <si>
    <t>PWRGD_PVCCD_HV_CPU1</t>
  </si>
  <si>
    <t>0x09[5]</t>
    <phoneticPr fontId="4" type="noConversion"/>
  </si>
  <si>
    <t>FM_P1V8_AUX_EN_R(S5)</t>
    <phoneticPr fontId="4" type="noConversion"/>
  </si>
  <si>
    <t>0x21[5]</t>
  </si>
  <si>
    <t xml:space="preserve">PWRGD_DRAMPWRGD_CPU0_EF_R_LVC3	</t>
    <phoneticPr fontId="4" type="noConversion"/>
  </si>
  <si>
    <t>0x81[5]</t>
  </si>
  <si>
    <t>0x97[1]</t>
  </si>
  <si>
    <t>h_cpu0_mon_fail_pld_lvc1_n_ovr</t>
    <phoneticPr fontId="4" type="noConversion"/>
  </si>
  <si>
    <t>(10)00010000</t>
  </si>
  <si>
    <t>PWRGD_PVCCFA_EHV_FIVRA_CPU0</t>
  </si>
  <si>
    <t>0x09[4]</t>
    <phoneticPr fontId="4" type="noConversion"/>
  </si>
  <si>
    <t>FM_P1V05_AUX_EN_R(S5)</t>
    <phoneticPr fontId="4" type="noConversion"/>
  </si>
  <si>
    <t>0x21[4]</t>
  </si>
  <si>
    <t xml:space="preserve">PWRGD_DRAMPWRGD_CPU0_GH_R_LVC3	</t>
    <phoneticPr fontId="4" type="noConversion"/>
  </si>
  <si>
    <t>0x81[4]</t>
  </si>
  <si>
    <t>0x97[0]</t>
  </si>
  <si>
    <t>h_cpu1_mon_fail_pld_lvc1_n_ovr</t>
    <phoneticPr fontId="4" type="noConversion"/>
  </si>
  <si>
    <t>(11)00010001</t>
  </si>
  <si>
    <t>PWRGD_PVCCFA_EHV_FIVRA_CPU1</t>
  </si>
  <si>
    <t>0x09[3]</t>
    <phoneticPr fontId="4" type="noConversion"/>
  </si>
  <si>
    <t>FM_P12V_EN_R(S0)</t>
    <phoneticPr fontId="4" type="noConversion"/>
  </si>
  <si>
    <t>0x22[7:0]</t>
  </si>
  <si>
    <t>CPU1 DRAM power good</t>
    <phoneticPr fontId="4" type="noConversion"/>
  </si>
  <si>
    <t>0x81[3]</t>
  </si>
  <si>
    <t>iFM_PWRBRK_N</t>
  </si>
  <si>
    <t>0x98[7:0]</t>
    <phoneticPr fontId="4" type="noConversion"/>
  </si>
  <si>
    <t>???</t>
    <phoneticPr fontId="4" type="noConversion"/>
  </si>
  <si>
    <t>0xD4[7:0]</t>
    <phoneticPr fontId="4" type="noConversion"/>
  </si>
  <si>
    <t>(12)00010010</t>
  </si>
  <si>
    <t>PWRGD_PVCCINF_CPU0</t>
  </si>
  <si>
    <t>0x09[2]</t>
    <phoneticPr fontId="4" type="noConversion"/>
  </si>
  <si>
    <t>FM_P3V3_EN_R(S0)</t>
    <phoneticPr fontId="4" type="noConversion"/>
  </si>
  <si>
    <t>0x22[7]</t>
  </si>
  <si>
    <t xml:space="preserve">PWRGD_DRAMPWRGD_CPU1_AB_R_LVC3	</t>
    <phoneticPr fontId="4" type="noConversion"/>
  </si>
  <si>
    <t>0x50[7:0]</t>
    <phoneticPr fontId="4" type="noConversion"/>
  </si>
  <si>
    <t>[7:4]M.2 EFUSE enable/[3:2]M.2 powergood/[1:0]Trigger M.2 SMBus alert</t>
    <phoneticPr fontId="4" type="noConversion"/>
  </si>
  <si>
    <t>0x81[2]</t>
  </si>
  <si>
    <t>iGLB_THROTTLE_R_N_S_All</t>
  </si>
  <si>
    <t>0x98[7]</t>
  </si>
  <si>
    <t>irq_bmc_smi_n_ovr</t>
    <phoneticPr fontId="4" type="noConversion"/>
  </si>
  <si>
    <t>0xD4[7]</t>
  </si>
  <si>
    <t>iFM_BIOS_POST_CMPLT_BMC_N</t>
  </si>
  <si>
    <t>(13)00010011</t>
  </si>
  <si>
    <t>PWRGD_PVCCINF_CPU1</t>
  </si>
  <si>
    <t>0x09[1]</t>
    <phoneticPr fontId="4" type="noConversion"/>
  </si>
  <si>
    <t>FM_P12V_DIMM_CPU0_EN_R(S0)</t>
    <phoneticPr fontId="4" type="noConversion"/>
  </si>
  <si>
    <t>0x22[6]</t>
  </si>
  <si>
    <t xml:space="preserve">PWRGD_DRAMPWRGD_CPU1_CD_R_LVC3	</t>
    <phoneticPr fontId="4" type="noConversion"/>
  </si>
  <si>
    <t>0x50[7]</t>
    <phoneticPr fontId="4" type="noConversion"/>
  </si>
  <si>
    <t xml:space="preserve">P3V3_M2_S1_PLD_EN	</t>
  </si>
  <si>
    <t>0x81[1]</t>
  </si>
  <si>
    <t>oFM_SYS_THROTTLE_N</t>
  </si>
  <si>
    <t>0x98[6]</t>
  </si>
  <si>
    <t>bmc_force_nm_throttle_n_ovr</t>
    <phoneticPr fontId="4" type="noConversion"/>
  </si>
  <si>
    <t>0xD4[6]</t>
  </si>
  <si>
    <t>iA_P3V_BAT_SCALED_EN_N</t>
  </si>
  <si>
    <t>(14)00010100</t>
  </si>
  <si>
    <t>PWRGD_PVCCIN_CPU0</t>
  </si>
  <si>
    <t>0x09[0]</t>
    <phoneticPr fontId="4" type="noConversion"/>
  </si>
  <si>
    <t>FM_P12V_DIMM_CPU1_EN_R(S0)</t>
    <phoneticPr fontId="4" type="noConversion"/>
  </si>
  <si>
    <t>0x22[5]</t>
  </si>
  <si>
    <t xml:space="preserve">PWRGD_DRAMPWRGD_CPU1_EF_R_LVC3	</t>
    <phoneticPr fontId="4" type="noConversion"/>
  </si>
  <si>
    <t>0x50[6]</t>
    <phoneticPr fontId="4" type="noConversion"/>
  </si>
  <si>
    <t>P3V3_M2_S2_PLD_EN</t>
    <phoneticPr fontId="4" type="noConversion"/>
  </si>
  <si>
    <t>0x81[0]</t>
    <phoneticPr fontId="4" type="noConversion"/>
  </si>
  <si>
    <t>GLB_PWRBRK_R_N_S_All</t>
  </si>
  <si>
    <t>0x98[5]</t>
  </si>
  <si>
    <t>p0_err0_n_ovr</t>
    <phoneticPr fontId="4" type="noConversion"/>
  </si>
  <si>
    <t>0xD4[5]</t>
  </si>
  <si>
    <t>iIRQ_CPLD_BMC_R_N</t>
  </si>
  <si>
    <t>(15)00010101</t>
  </si>
  <si>
    <t>PWRGD_PVCCIN_CPU1</t>
  </si>
  <si>
    <t>0x0A[7:0]</t>
    <phoneticPr fontId="4" type="noConversion"/>
  </si>
  <si>
    <t>PDB blade enable to BMC/CPLD &amp; PWRGD signals to indicate specify power rail status</t>
    <phoneticPr fontId="4" type="noConversion"/>
  </si>
  <si>
    <t>0x22[4]</t>
  </si>
  <si>
    <t xml:space="preserve">PWRGD_DRAMPWRGD_CPU1_GH_R_LVC3	</t>
  </si>
  <si>
    <t>0x50[5]</t>
    <phoneticPr fontId="4" type="noConversion"/>
  </si>
  <si>
    <t>PWRGD_M2_S1</t>
    <phoneticPr fontId="4" type="noConversion"/>
  </si>
  <si>
    <t>0x98[4]</t>
  </si>
  <si>
    <t>p0_err1_n_ovr</t>
    <phoneticPr fontId="4" type="noConversion"/>
  </si>
  <si>
    <t>0xD4[4]</t>
  </si>
  <si>
    <t>iRST_BMC_RTCRST_R</t>
  </si>
  <si>
    <t>(16)00010110</t>
  </si>
  <si>
    <t>PWRGD_S0_PWROK_CPU0</t>
  </si>
  <si>
    <t>0x0A[7]</t>
    <phoneticPr fontId="4" type="noConversion"/>
  </si>
  <si>
    <t>PDB_BLADE_EN_N</t>
    <phoneticPr fontId="4" type="noConversion"/>
  </si>
  <si>
    <t>0x50[4]</t>
    <phoneticPr fontId="4" type="noConversion"/>
  </si>
  <si>
    <t xml:space="preserve">PWRGD_M2_S2	</t>
    <phoneticPr fontId="4" type="noConversion"/>
  </si>
  <si>
    <t>0x98[3]</t>
  </si>
  <si>
    <t>p0_err2_n_ovr</t>
    <phoneticPr fontId="4" type="noConversion"/>
  </si>
  <si>
    <t>0xD4[3]</t>
  </si>
  <si>
    <t>iFM_BMC_EDAF_3V3_SEL</t>
    <phoneticPr fontId="4" type="noConversion"/>
  </si>
  <si>
    <t>(17)00010111</t>
  </si>
  <si>
    <t>PWRGD_S0_PWROK_CPU1</t>
  </si>
  <si>
    <t>0x0A[6]</t>
    <phoneticPr fontId="4" type="noConversion"/>
  </si>
  <si>
    <t>PWRGD_P3V3_AUX_R1(S5)</t>
    <phoneticPr fontId="4" type="noConversion"/>
  </si>
  <si>
    <t>0x50[3]</t>
    <phoneticPr fontId="4" type="noConversion"/>
  </si>
  <si>
    <t>PWRGD_P3V3_M2_S1</t>
    <phoneticPr fontId="4" type="noConversion"/>
  </si>
  <si>
    <t>0x98[2]</t>
  </si>
  <si>
    <t>p0_memtrip_n_ovr</t>
    <phoneticPr fontId="4" type="noConversion"/>
  </si>
  <si>
    <t>0xD4[2]</t>
  </si>
  <si>
    <t>iFM_SPD_SWITCH_CTRL_N</t>
  </si>
  <si>
    <t>(18)00011000</t>
  </si>
  <si>
    <t>CPU0_REFCLK_RDY</t>
  </si>
  <si>
    <t>0x0A[5]</t>
    <phoneticPr fontId="4" type="noConversion"/>
  </si>
  <si>
    <t>PWRGD_P1V8_AUX_R(S5)</t>
    <phoneticPr fontId="4" type="noConversion"/>
  </si>
  <si>
    <t xml:space="preserve">CPU Reset </t>
    <phoneticPr fontId="4" type="noConversion"/>
  </si>
  <si>
    <t>0x50[2]</t>
    <phoneticPr fontId="4" type="noConversion"/>
  </si>
  <si>
    <t>PWRGD_P3V3_M2_S2</t>
    <phoneticPr fontId="4" type="noConversion"/>
  </si>
  <si>
    <t>0x84[7:0]</t>
    <phoneticPr fontId="4" type="noConversion"/>
  </si>
  <si>
    <t>0x98[1]</t>
  </si>
  <si>
    <t>p0_pwrgd_ovr</t>
    <phoneticPr fontId="4" type="noConversion"/>
  </si>
  <si>
    <t>0xD4[1]</t>
  </si>
  <si>
    <t>(19)00011001</t>
  </si>
  <si>
    <t>CPU1_REFCLK_RDY</t>
  </si>
  <si>
    <t>0x0A[4]</t>
    <phoneticPr fontId="4" type="noConversion"/>
  </si>
  <si>
    <t>PWRGD_P1V05_AUX_R(S5)</t>
    <phoneticPr fontId="4" type="noConversion"/>
  </si>
  <si>
    <t>0x25[7:0]</t>
    <phoneticPr fontId="4" type="noConversion"/>
  </si>
  <si>
    <t>0x50[1]</t>
    <phoneticPr fontId="4" type="noConversion"/>
  </si>
  <si>
    <t xml:space="preserve">SMB_M2_S1_ALERT_N	</t>
    <phoneticPr fontId="4" type="noConversion"/>
  </si>
  <si>
    <t>0x84[7]</t>
  </si>
  <si>
    <t>iHSC_GPIO1_CPLD_N</t>
  </si>
  <si>
    <t>0x98[0]</t>
  </si>
  <si>
    <t>p1_memtrip_n_ovr</t>
    <phoneticPr fontId="4" type="noConversion"/>
  </si>
  <si>
    <t>0xD4[0]</t>
    <phoneticPr fontId="4" type="noConversion"/>
  </si>
  <si>
    <t>rLED2_BMC_CPLD_N</t>
    <phoneticPr fontId="4" type="noConversion"/>
  </si>
  <si>
    <t>(FF)11111111</t>
  </si>
  <si>
    <t>RST_PLTRST, system on.</t>
    <phoneticPr fontId="4" type="noConversion"/>
  </si>
  <si>
    <t>0x0A[3]</t>
    <phoneticPr fontId="4" type="noConversion"/>
  </si>
  <si>
    <t>PWRGD_P3V3_MAIN_R(PWRGD_P3V3)</t>
    <phoneticPr fontId="4" type="noConversion"/>
  </si>
  <si>
    <t>0x25[7]</t>
    <phoneticPr fontId="4" type="noConversion"/>
  </si>
  <si>
    <t>CPU0 send platform reset to CPLD</t>
    <phoneticPr fontId="4" type="noConversion"/>
  </si>
  <si>
    <t>0x50[0]</t>
    <phoneticPr fontId="4" type="noConversion"/>
  </si>
  <si>
    <t>SMB_M2_S2_ALERT_N</t>
    <phoneticPr fontId="4" type="noConversion"/>
  </si>
  <si>
    <t>0x84[6]</t>
  </si>
  <si>
    <t>iHSC_GPIO2_CPLD_N</t>
  </si>
  <si>
    <t>0x99</t>
  </si>
  <si>
    <t>0x0A[2]</t>
    <phoneticPr fontId="4" type="noConversion"/>
  </si>
  <si>
    <t>PWRGD_P12V_AUX_R</t>
    <phoneticPr fontId="4" type="noConversion"/>
  </si>
  <si>
    <t>0x25[6]</t>
    <phoneticPr fontId="4" type="noConversion"/>
  </si>
  <si>
    <t>RST_CPU0_RESET_R_N(CPLD to reset CPU0)</t>
    <phoneticPr fontId="4" type="noConversion"/>
  </si>
  <si>
    <t>0x51[7:0]</t>
    <phoneticPr fontId="4" type="noConversion"/>
  </si>
  <si>
    <t>M.2 devices PERST#</t>
    <phoneticPr fontId="4" type="noConversion"/>
  </si>
  <si>
    <t>0x84[5]</t>
  </si>
  <si>
    <t>iIRQ_HSC_FAULT_N</t>
  </si>
  <si>
    <t>0x99[7]</t>
  </si>
  <si>
    <t>Bit 7 : p1_sktocc_n_ovr</t>
  </si>
  <si>
    <t>0x0A[1]</t>
    <phoneticPr fontId="4" type="noConversion"/>
  </si>
  <si>
    <t>PWRGD_P12V_SCM</t>
    <phoneticPr fontId="4" type="noConversion"/>
  </si>
  <si>
    <t>0x25[5]</t>
    <phoneticPr fontId="4" type="noConversion"/>
  </si>
  <si>
    <t>RST_CPU1_RESET_R_N(CPLD to reset CPU1)</t>
    <phoneticPr fontId="4" type="noConversion"/>
  </si>
  <si>
    <t xml:space="preserve">RST_M2_S1_PERST_N	</t>
    <phoneticPr fontId="4" type="noConversion"/>
  </si>
  <si>
    <t>0x99[6]</t>
  </si>
  <si>
    <t>Bit 6 : p1_thermtrip_n_ovr</t>
  </si>
  <si>
    <t>RST_M2_S2_PERST_N</t>
    <phoneticPr fontId="4" type="noConversion"/>
  </si>
  <si>
    <t>0x99[5]</t>
  </si>
  <si>
    <t>Bit 5 : p1_pwrgd_ovr</t>
  </si>
  <si>
    <t>0xD7[7:0]</t>
    <phoneticPr fontId="4" type="noConversion"/>
  </si>
  <si>
    <t>0x99[4]</t>
  </si>
  <si>
    <t>Bit 4 : slps4_s5_n_ovr</t>
  </si>
  <si>
    <t>0xD7[7]</t>
  </si>
  <si>
    <t>iPORT1_RST_N</t>
  </si>
  <si>
    <t>Power/Reset Button or SLPS Status or P12V PWRGD or P12V PWRGD Fail</t>
    <phoneticPr fontId="4" type="noConversion"/>
  </si>
  <si>
    <t>FAN-Related</t>
    <phoneticPr fontId="4" type="noConversion"/>
  </si>
  <si>
    <t>0x87[7:0]</t>
    <phoneticPr fontId="4" type="noConversion"/>
  </si>
  <si>
    <t>0x99[3]</t>
  </si>
  <si>
    <t>Bit 3 : fm_slps3_n_ovr</t>
  </si>
  <si>
    <t>0xD7[6]</t>
  </si>
  <si>
    <t>0x0D[7:0]</t>
    <phoneticPr fontId="4" type="noConversion"/>
  </si>
  <si>
    <t>0x2D[7:0]</t>
    <phoneticPr fontId="4" type="noConversion"/>
  </si>
  <si>
    <t>CLK Ready or CLK Buffer PWRGD (0x60)</t>
    <phoneticPr fontId="4" type="noConversion"/>
  </si>
  <si>
    <t>0x87[7]</t>
  </si>
  <si>
    <t>iJTAG_BMC_PLD_NRST_N</t>
  </si>
  <si>
    <t>0x99[2]</t>
  </si>
  <si>
    <t>Bit 2 : pwrgd_pch_bmc_pwrok_ovr</t>
  </si>
  <si>
    <t>0xD7[5]</t>
  </si>
  <si>
    <t>0x0D[7]</t>
    <phoneticPr fontId="4" type="noConversion"/>
  </si>
  <si>
    <t>Power button signal to CPU</t>
    <phoneticPr fontId="4" type="noConversion"/>
  </si>
  <si>
    <t>0x2D[1]</t>
    <phoneticPr fontId="4" type="noConversion"/>
  </si>
  <si>
    <t xml:space="preserve">rP3V3_M2_PLD_EN[2]	</t>
    <phoneticPr fontId="4" type="noConversion"/>
  </si>
  <si>
    <t>0x60[7:0]</t>
    <phoneticPr fontId="4" type="noConversion"/>
  </si>
  <si>
    <t>[7:6]CPU inform REFCLK to CPLD/[5]CLKBUF power good</t>
    <phoneticPr fontId="4" type="noConversion"/>
  </si>
  <si>
    <t>0x87[6]</t>
  </si>
  <si>
    <t>iJTAG_BMC_PLD_SRST_N</t>
  </si>
  <si>
    <t>0x99[1]</t>
  </si>
  <si>
    <t>Bit 1 : bmc_rsmrst_r_n_ovr</t>
  </si>
  <si>
    <t>0xD7[4]</t>
  </si>
  <si>
    <t>0x0D[6]</t>
  </si>
  <si>
    <t>Reset button signal to CPU</t>
    <phoneticPr fontId="4" type="noConversion"/>
  </si>
  <si>
    <t>0x2D[0]</t>
    <phoneticPr fontId="4" type="noConversion"/>
  </si>
  <si>
    <t>rP3V3_M2_PLD_EN[1]</t>
    <phoneticPr fontId="4" type="noConversion"/>
  </si>
  <si>
    <t>0x60[7]</t>
    <phoneticPr fontId="4" type="noConversion"/>
  </si>
  <si>
    <t>FM_CPU0_REFCLK_RDY_PLD</t>
    <phoneticPr fontId="4" type="noConversion"/>
  </si>
  <si>
    <t>0x99[0]</t>
  </si>
  <si>
    <t>Bit 0 : bmc_srst_n_ovr</t>
  </si>
  <si>
    <t>0xD7[3]</t>
  </si>
  <si>
    <t>0x0D[5]</t>
  </si>
  <si>
    <t>SLPS4 from CPU</t>
    <phoneticPr fontId="4" type="noConversion"/>
  </si>
  <si>
    <t>0x2E[7:0]</t>
    <phoneticPr fontId="4" type="noConversion"/>
  </si>
  <si>
    <t>rP12V_ES_EN</t>
  </si>
  <si>
    <t>0x60[6]</t>
    <phoneticPr fontId="4" type="noConversion"/>
  </si>
  <si>
    <t>FM_CPU1_REFCLK_RDY_PLD</t>
    <phoneticPr fontId="4" type="noConversion"/>
  </si>
  <si>
    <t>0x9A</t>
  </si>
  <si>
    <t>0xD7[2]</t>
  </si>
  <si>
    <t>0x0D[4]</t>
  </si>
  <si>
    <t>SLPS3 from CPU</t>
    <phoneticPr fontId="4" type="noConversion"/>
  </si>
  <si>
    <t>0x60[5]</t>
    <phoneticPr fontId="4" type="noConversion"/>
  </si>
  <si>
    <t>FM_CLKBUF_PWRGD_EN_R</t>
    <phoneticPr fontId="4" type="noConversion"/>
  </si>
  <si>
    <t>0x9A[7]</t>
  </si>
  <si>
    <t>Bit 7 : irq_pch_nmi_ovr</t>
  </si>
  <si>
    <t>0xD7[1]</t>
  </si>
  <si>
    <t>0x0D[3]</t>
  </si>
  <si>
    <t>P12V fail reset input</t>
    <phoneticPr fontId="4" type="noConversion"/>
  </si>
  <si>
    <t>HPM/SCM common signals (0x63-0x65)</t>
    <phoneticPr fontId="4" type="noConversion"/>
  </si>
  <si>
    <t>0x9A[6]</t>
  </si>
  <si>
    <t>Bit 6 : pfail_12v_bmc_n_ovr</t>
  </si>
  <si>
    <t>0xD7[0]</t>
    <phoneticPr fontId="4" type="noConversion"/>
  </si>
  <si>
    <t>iLED_BOOT_READY_N</t>
    <phoneticPr fontId="4" type="noConversion"/>
  </si>
  <si>
    <t>0x0D[2]</t>
  </si>
  <si>
    <t>Power good signal to indicate P12_MAIN_R status</t>
    <phoneticPr fontId="4" type="noConversion"/>
  </si>
  <si>
    <t>0x63[7:0]</t>
    <phoneticPr fontId="4" type="noConversion"/>
  </si>
  <si>
    <t>0x9A[5]</t>
  </si>
  <si>
    <t>Bit 5 : cd_init_error0_ovr</t>
  </si>
  <si>
    <t>Main VR PWRGD/EN</t>
    <phoneticPr fontId="4" type="noConversion"/>
  </si>
  <si>
    <t>0x63[7]</t>
    <phoneticPr fontId="4" type="noConversion"/>
  </si>
  <si>
    <t xml:space="preserve">Power Botton - SYS_PWRBTN_R_N	</t>
    <phoneticPr fontId="4" type="noConversion"/>
  </si>
  <si>
    <t>0x9A[4]</t>
  </si>
  <si>
    <t>Bit 4 : cd_init_error1_ovr</t>
  </si>
  <si>
    <t>0x10[7:0]</t>
    <phoneticPr fontId="4" type="noConversion"/>
  </si>
  <si>
    <t>Enable specify VR power output</t>
    <phoneticPr fontId="4" type="noConversion"/>
  </si>
  <si>
    <t>0x63[6]</t>
    <phoneticPr fontId="4" type="noConversion"/>
  </si>
  <si>
    <t>SCM CPLD feeds into HPM CPLD RSMRST# logic - HPM_STBY_RST_N</t>
    <phoneticPr fontId="4" type="noConversion"/>
  </si>
  <si>
    <t>0x9A[3]</t>
  </si>
  <si>
    <t>Bit 3 : hsc_pgood_ovr</t>
  </si>
  <si>
    <t>Miscellaneous (0xF0-0xFF)</t>
    <phoneticPr fontId="4" type="noConversion"/>
  </si>
  <si>
    <t>0x10[7]</t>
    <phoneticPr fontId="4" type="noConversion"/>
  </si>
  <si>
    <t>FM_PVCCD0_HV_CPU0_EN_R</t>
    <phoneticPr fontId="4" type="noConversion"/>
  </si>
  <si>
    <t>0x63[5]</t>
    <phoneticPr fontId="4" type="noConversion"/>
  </si>
  <si>
    <t>Platform Reset Signal to SCM CPLD - RST_PLTRST_PLD_B_N</t>
    <phoneticPr fontId="4" type="noConversion"/>
  </si>
  <si>
    <t>0x9A[2]</t>
  </si>
  <si>
    <t>Bit 2 : bmc_rstbtn_out_n_ovr</t>
  </si>
  <si>
    <t>0xFD</t>
    <phoneticPr fontId="4" type="noConversion"/>
  </si>
  <si>
    <t>0x10[6]</t>
  </si>
  <si>
    <t xml:space="preserve">FM_PVCCD1_HV_CPU0_EN_R </t>
    <phoneticPr fontId="4" type="noConversion"/>
  </si>
  <si>
    <t>0x63[4]</t>
  </si>
  <si>
    <t xml:space="preserve">Indicate system power is OK - HPM_STBY_RDY	</t>
    <phoneticPr fontId="4" type="noConversion"/>
  </si>
  <si>
    <t>0x9A[1]</t>
  </si>
  <si>
    <t>Bit 1 : irq_bmc_nmi_ovr</t>
  </si>
  <si>
    <t>Major Version</t>
    <phoneticPr fontId="4" type="noConversion"/>
  </si>
  <si>
    <t>0x10[5]</t>
  </si>
  <si>
    <t>FM_PVCCFA_EHV_CPU0_EN_R</t>
    <phoneticPr fontId="4" type="noConversion"/>
  </si>
  <si>
    <t>0x63[3]</t>
  </si>
  <si>
    <t xml:space="preserve">Inform SCM CPLD that HPM standby power ready - HPM_STBY_RDY	</t>
    <phoneticPr fontId="4" type="noConversion"/>
  </si>
  <si>
    <t>0x9A[0]</t>
  </si>
  <si>
    <t>Bit 0 : lpc_enable_r_n_ovr</t>
  </si>
  <si>
    <t>0xFF</t>
    <phoneticPr fontId="4" type="noConversion"/>
  </si>
  <si>
    <t>Minor Version</t>
    <phoneticPr fontId="4" type="noConversion"/>
  </si>
  <si>
    <t>0x10[4]</t>
  </si>
  <si>
    <t>FM_PVCCFA_EHV_FIVRA_CPU0_EN_R</t>
    <phoneticPr fontId="4" type="noConversion"/>
  </si>
  <si>
    <t>0x63[2]</t>
  </si>
  <si>
    <t>SCM CPLD to enable HPM standby power - HPM_STBY_EN</t>
    <phoneticPr fontId="4" type="noConversion"/>
  </si>
  <si>
    <t>0x9B</t>
  </si>
  <si>
    <t>0x10[3]</t>
  </si>
  <si>
    <t>FM_PVCCIN_CPU0_EN_R</t>
    <phoneticPr fontId="4" type="noConversion"/>
  </si>
  <si>
    <t>0x63[1]</t>
  </si>
  <si>
    <t>SPARE0 for reserved - SPARE0</t>
    <phoneticPr fontId="4" type="noConversion"/>
  </si>
  <si>
    <t>0x9B[7]</t>
  </si>
  <si>
    <t>Bit 7 : fm_bmc_ready_n_ovr</t>
  </si>
  <si>
    <t>0x10[2]</t>
  </si>
  <si>
    <t>FM_PVCCINF_CPU0_EN_R</t>
    <phoneticPr fontId="4" type="noConversion"/>
  </si>
  <si>
    <t>0x63[0]</t>
  </si>
  <si>
    <t>SPARE1 for reserved - SPARE1</t>
    <phoneticPr fontId="4" type="noConversion"/>
  </si>
  <si>
    <t>0x9B[6]</t>
  </si>
  <si>
    <t>Bit 6 : bmc_rsmrst_out_ovr</t>
  </si>
  <si>
    <t>0x10[1]</t>
  </si>
  <si>
    <t>FM_PVNN_MAIN_CPU0_EN_R</t>
    <phoneticPr fontId="4" type="noConversion"/>
  </si>
  <si>
    <t>ADR/Alert/IRQ/Hot (0x66-0x6F)</t>
    <phoneticPr fontId="4" type="noConversion"/>
  </si>
  <si>
    <t>0x9B[5]</t>
  </si>
  <si>
    <t>Bit 5 : fm_bmc_onctl_n_ovr</t>
  </si>
  <si>
    <t>0x10[0]</t>
  </si>
  <si>
    <t>FM_S5_PWR_RETAINED_CPU0_PLD</t>
    <phoneticPr fontId="4" type="noConversion"/>
  </si>
  <si>
    <t>0x66[7:0]</t>
    <phoneticPr fontId="4" type="noConversion"/>
  </si>
  <si>
    <t>0x9B[4]</t>
  </si>
  <si>
    <t>Bit 4 : fm_bmc_cpu_fbrk_out_r_n_ovr</t>
  </si>
  <si>
    <t>0x11[7:0]</t>
    <phoneticPr fontId="4" type="noConversion"/>
  </si>
  <si>
    <t>0x66[7]</t>
    <phoneticPr fontId="4" type="noConversion"/>
  </si>
  <si>
    <t>[Reserved] Indicate ADR is complete - FM_ADR_COMPLETE_PLD</t>
    <phoneticPr fontId="4" type="noConversion"/>
  </si>
  <si>
    <t>0x9B[3]</t>
  </si>
  <si>
    <t>Bit 3 : Reserved as '0'</t>
    <phoneticPr fontId="4" type="noConversion"/>
  </si>
  <si>
    <t>0x11[7]</t>
    <phoneticPr fontId="4" type="noConversion"/>
  </si>
  <si>
    <t xml:space="preserve">A PWRGD signal from CPLD to inform CPU0 </t>
    <phoneticPr fontId="4" type="noConversion"/>
  </si>
  <si>
    <t>0x66[6]</t>
    <phoneticPr fontId="4" type="noConversion"/>
  </si>
  <si>
    <t>[Reserved] CPLD send ADR_trigger to CPU - FM_CPU0_ADR_TRIGGER_PLD_N</t>
    <phoneticPr fontId="4" type="noConversion"/>
  </si>
  <si>
    <t>0x9B[2]</t>
  </si>
  <si>
    <t>Bit 2 : Reserved as '0'</t>
  </si>
  <si>
    <t>0x11[6]</t>
    <phoneticPr fontId="4" type="noConversion"/>
  </si>
  <si>
    <t>Indicate when all the S0 power rails are fully energized and within specification to CPU1</t>
    <phoneticPr fontId="4" type="noConversion"/>
  </si>
  <si>
    <t>0x66[5]</t>
  </si>
  <si>
    <t>[Reserved]  NVDIMM-SW second source of SMI output to PCH - FM_ADR_SMI_GPIO_R_N</t>
    <phoneticPr fontId="4" type="noConversion"/>
  </si>
  <si>
    <t>0x9B[1]</t>
  </si>
  <si>
    <t>Bit 1 : Reserved as '0'</t>
  </si>
  <si>
    <t>0x12[7:0]</t>
    <phoneticPr fontId="4" type="noConversion"/>
  </si>
  <si>
    <t>0x66[4]</t>
  </si>
  <si>
    <t xml:space="preserve">NMI trigger to CPU0 - H_CPU0_NMI_LVC1_R	</t>
    <phoneticPr fontId="4" type="noConversion"/>
  </si>
  <si>
    <t>0x9B[0]</t>
  </si>
  <si>
    <t>Bit 0 : Reserved as '0'</t>
  </si>
  <si>
    <t>0x12[7]</t>
  </si>
  <si>
    <t>FM_PVCCD0_HV_CPU1_EN_R</t>
    <phoneticPr fontId="4" type="noConversion"/>
  </si>
  <si>
    <t>0x66[3]</t>
  </si>
  <si>
    <t xml:space="preserve">NMI trigger to CPU1 - H_CPU1_NMI_LVC1_R	</t>
    <phoneticPr fontId="4" type="noConversion"/>
  </si>
  <si>
    <t>0x9C</t>
  </si>
  <si>
    <t>Debug purpose to check CPLD sGPIO which doesn't impact system boot up but will get warning event</t>
  </si>
  <si>
    <t>0x12[6]</t>
  </si>
  <si>
    <t>FM_PVCCD1_HV_CPU1_EN_R</t>
    <phoneticPr fontId="4" type="noConversion"/>
  </si>
  <si>
    <t>0x66[2]</t>
  </si>
  <si>
    <t xml:space="preserve">CPU caterr to CPLD - H_CPU_CATERR_LVC1_N	</t>
    <phoneticPr fontId="4" type="noConversion"/>
  </si>
  <si>
    <t>0x9C[7]</t>
  </si>
  <si>
    <t>Bit 7 : warn_ovr_all_or</t>
  </si>
  <si>
    <t>0x12[5]</t>
  </si>
  <si>
    <t>FM_PVCCFA_EHV_CPU1_EN_R</t>
    <phoneticPr fontId="4" type="noConversion"/>
  </si>
  <si>
    <t>0x66[1]</t>
  </si>
  <si>
    <t>RMCA event from CPU - H_CPU_RMCA_LVC1_N</t>
    <phoneticPr fontId="4" type="noConversion"/>
  </si>
  <si>
    <t>0x9C[6]</t>
  </si>
  <si>
    <t>Bit 6 : fm_throttle_in_n_ovr</t>
  </si>
  <si>
    <t>0x12[4]</t>
  </si>
  <si>
    <t>FM_PVCCFA_EHV_FIVRA_CPU1_EN_R</t>
    <phoneticPr fontId="4" type="noConversion"/>
  </si>
  <si>
    <t>0x66[0]</t>
  </si>
  <si>
    <t>Error0 event from CPU - H_CPU_ERR0_LVC1_N</t>
    <phoneticPr fontId="4" type="noConversion"/>
  </si>
  <si>
    <t>0x9C[5]</t>
  </si>
  <si>
    <t>Bit 5 : pcie_pwrbrk_n_ovr</t>
  </si>
  <si>
    <t>0x12[3]</t>
  </si>
  <si>
    <t>FM_PVCCIN_CPU1_EN_R</t>
    <phoneticPr fontId="4" type="noConversion"/>
  </si>
  <si>
    <t>0x67[7:0]</t>
    <phoneticPr fontId="4" type="noConversion"/>
  </si>
  <si>
    <t>0x9C[4]</t>
  </si>
  <si>
    <t>Bit 4 : bmc_pwrcap_n_ovr</t>
  </si>
  <si>
    <t>0x12[2]</t>
  </si>
  <si>
    <t>FM_PVCCINF_CPU1_EN_R</t>
    <phoneticPr fontId="4" type="noConversion"/>
  </si>
  <si>
    <t>0x67[7]</t>
    <phoneticPr fontId="4" type="noConversion"/>
  </si>
  <si>
    <t>Error1eventfromCPU-H_CPU_ERR1_LVC1_N</t>
  </si>
  <si>
    <t>0x9C[3]</t>
  </si>
  <si>
    <t>Bit 3 : bmc_pwrdn_alert_n_ovr</t>
  </si>
  <si>
    <t>0x12[1]</t>
  </si>
  <si>
    <t>FM_PVNN_MAIN_CPU1_EN_R</t>
    <phoneticPr fontId="4" type="noConversion"/>
  </si>
  <si>
    <t>0x67[6]</t>
    <phoneticPr fontId="4" type="noConversion"/>
  </si>
  <si>
    <t>Error2eventfromCPU-H_CPU_ERR2_LVC1_N</t>
  </si>
  <si>
    <t>0x9C[2]</t>
  </si>
  <si>
    <t>Bit 2 : bmc_force_nm_throttle_n_ovr</t>
  </si>
  <si>
    <t>0x12[0]</t>
  </si>
  <si>
    <t>FM_S5_PWR_RETAINED_CPU1_PLD</t>
    <phoneticPr fontId="4" type="noConversion"/>
  </si>
  <si>
    <t>0x67[5]</t>
  </si>
  <si>
    <t>CPUinformFIVReventtoCPLD-H_CPU0_MON_FAIL_PLD_LVC1_N</t>
  </si>
  <si>
    <t>0x9C[1]</t>
  </si>
  <si>
    <t>Bit 1 : p0_mem_vrhot_n_ovr</t>
  </si>
  <si>
    <t>0x13[7:0]</t>
    <phoneticPr fontId="4" type="noConversion"/>
  </si>
  <si>
    <t>0x67[4]</t>
  </si>
  <si>
    <t>CPUinformFIVReventtoCPLD-H_CPU1_MON_FAIL_PLD_LVC1_N-</t>
  </si>
  <si>
    <t>0x9C[0]</t>
  </si>
  <si>
    <t>Bit 0 : p0_memhot_out_n_ovr</t>
  </si>
  <si>
    <t>0x13[7]</t>
    <phoneticPr fontId="4" type="noConversion"/>
  </si>
  <si>
    <t>A PWRGD signal from CPLD to inform CPU1</t>
    <phoneticPr fontId="4" type="noConversion"/>
  </si>
  <si>
    <t>0x67[3]</t>
  </si>
  <si>
    <t>GivenoticeofanimpendingglobalresettoCPLD-FM_CPU0_GLB_RST_WARN_PLD_N</t>
  </si>
  <si>
    <t>0x9D</t>
  </si>
  <si>
    <t>0x13[6]</t>
    <phoneticPr fontId="4" type="noConversion"/>
  </si>
  <si>
    <t>0x67[2]</t>
  </si>
  <si>
    <t>CPUindicateCD_INIT_ERROR-CPU0_CD_INIT_ERROR</t>
  </si>
  <si>
    <t>0x9D[7]</t>
  </si>
  <si>
    <t>Bit 7 : p0_prochot_n_ovr</t>
  </si>
  <si>
    <t>0x14[7:0]</t>
  </si>
  <si>
    <t xml:space="preserve">Indicate when all the CPU0 power rails are fully </t>
    <phoneticPr fontId="4" type="noConversion"/>
  </si>
  <si>
    <t>0x67[1]</t>
  </si>
  <si>
    <t>CPUindicateCD_INIT_ERROR-CPU1_CD_INIT_ERROR</t>
  </si>
  <si>
    <t>0x9D[6]</t>
  </si>
  <si>
    <t>Bit 6 : p0_vrhot_n_ovr</t>
  </si>
  <si>
    <t>0x14[7]</t>
  </si>
  <si>
    <t>PWRGD_AUX_PWRGD_CPU0_PLD</t>
    <phoneticPr fontId="4" type="noConversion"/>
  </si>
  <si>
    <t>0x67[0]</t>
  </si>
  <si>
    <t>Indicateasystemthrottleeventisactivated-FM_SYS_THROTTLE_PLD_N</t>
  </si>
  <si>
    <t>0x9D[5]</t>
  </si>
  <si>
    <t>Bit 5 : pdb_alert1_n_ovr</t>
  </si>
  <si>
    <t>0x14[6]</t>
  </si>
  <si>
    <t>0x68[7:0]</t>
    <phoneticPr fontId="4" type="noConversion"/>
  </si>
  <si>
    <t>0x9D[4]</t>
  </si>
  <si>
    <t>Bit 4 : pdb_alert2_n_ovr</t>
  </si>
  <si>
    <t>0x14[5]</t>
  </si>
  <si>
    <t>0x68[7]</t>
    <phoneticPr fontId="4" type="noConversion"/>
  </si>
  <si>
    <t>CPUthermtriptoCPLD-H_CPU0_THERMTRIP_LVC1_N</t>
  </si>
  <si>
    <t>0x9D[3]</t>
  </si>
  <si>
    <t>Bit 3 : p1_mem_vrhot_n_ovr</t>
  </si>
  <si>
    <t>0x14[4]</t>
  </si>
  <si>
    <t xml:space="preserve">PWRGD_PVCCFA_EHV_CPU0_R	</t>
  </si>
  <si>
    <t>0x68[6]</t>
    <phoneticPr fontId="4" type="noConversion"/>
  </si>
  <si>
    <t>CPUthermtriptoCPLD-H_CPU1_THERMTRIP_LVC1_N</t>
  </si>
  <si>
    <t>loc="A7"</t>
  </si>
  <si>
    <t>0x9D[2]</t>
  </si>
  <si>
    <t>Bit 2 : p1_memhot_out_n_ovr</t>
  </si>
  <si>
    <t>0x14[3]</t>
  </si>
  <si>
    <t xml:space="preserve">PWRGD_PVCCFA_EHV_FIVRA_CPU0_R	</t>
  </si>
  <si>
    <t>0x68[5]</t>
  </si>
  <si>
    <t>CPUMEMTRIPtoCPLD-H_CPU0_MEMTRIP_LVC1_N</t>
  </si>
  <si>
    <t>loc="B13"</t>
  </si>
  <si>
    <t>0x9D[1]</t>
  </si>
  <si>
    <t>Bit 1 : p1_prochot_n_ovr</t>
  </si>
  <si>
    <t>0x14[2]</t>
  </si>
  <si>
    <t xml:space="preserve">PWRGD_PVCCIN_CPU0_R	</t>
  </si>
  <si>
    <t>0x68[4]</t>
  </si>
  <si>
    <t>CPUMEMTRIPtoCPLD-H_CPU1_MEMTRIP_LVC1_N</t>
  </si>
  <si>
    <t>loc="A13"</t>
  </si>
  <si>
    <t>0x9D[0]</t>
  </si>
  <si>
    <t>Bit 0 : p1_vrhot_n_ovr</t>
  </si>
  <si>
    <t>0x14[1]</t>
  </si>
  <si>
    <t xml:space="preserve">PWRGD_PVCCINF_CPU0_R	</t>
  </si>
  <si>
    <t>0x68[3]</t>
  </si>
  <si>
    <t>CPUpowerVRHOT-IRQ_CPU0_VRHOT_N</t>
  </si>
  <si>
    <t>loc="C20"</t>
    <phoneticPr fontId="4" type="noConversion"/>
  </si>
  <si>
    <t>0x9E</t>
  </si>
  <si>
    <t>0x14[0]</t>
  </si>
  <si>
    <t>PWRGD_PVNN_MAIN_CPU0_R</t>
  </si>
  <si>
    <t>0x68[2]</t>
  </si>
  <si>
    <t>CPUpowerVRHOT-IRQ_CPU1_VRHOT_N</t>
  </si>
  <si>
    <t>loc="F18"</t>
  </si>
  <si>
    <t>0x9E[7]</t>
  </si>
  <si>
    <t>Bit 7 : hsc_alert1_n_ovr</t>
  </si>
  <si>
    <t>0x15[7:0]</t>
  </si>
  <si>
    <t xml:space="preserve">Indicate when all the CPU1 power rails are fully </t>
    <phoneticPr fontId="4" type="noConversion"/>
  </si>
  <si>
    <t>0x68[1]</t>
  </si>
  <si>
    <t>PROCHOTeventtoCPU-H_CPU0_PROCHOT_LVC1_R_N</t>
  </si>
  <si>
    <t>loc="F1"</t>
  </si>
  <si>
    <t>0x9E[6]</t>
  </si>
  <si>
    <t>Bit 6 : hsc_alert2_n_ovr</t>
  </si>
  <si>
    <t>0x15[7]</t>
  </si>
  <si>
    <t>0x68[0]</t>
  </si>
  <si>
    <t>PROCHOTeventtoCPU-H_CPU1_PROCHOT_LVC1_R_N</t>
  </si>
  <si>
    <t>loc="U7"</t>
  </si>
  <si>
    <t>0x9E[5]</t>
  </si>
  <si>
    <t>Bit 5 : oc_alert_n_ovr</t>
  </si>
  <si>
    <t>0x15[6]</t>
  </si>
  <si>
    <t xml:space="preserve">PWRGD_PVCCD0_HV_CPU1_R	</t>
  </si>
  <si>
    <t>0x69[7:0]</t>
    <phoneticPr fontId="4" type="noConversion"/>
  </si>
  <si>
    <t>0x9E[4]</t>
  </si>
  <si>
    <t>Bit 4 : uv_alert_n_ovr</t>
  </si>
  <si>
    <t>0x15[5]</t>
  </si>
  <si>
    <t xml:space="preserve">PWRGD_PVCCD1_HV_CPU1_R	</t>
  </si>
  <si>
    <t>0x69[7]</t>
    <phoneticPr fontId="4" type="noConversion"/>
  </si>
  <si>
    <t>CPUMEMpowerVRHOT-IRQ_CPU0_MEM_VRHOT_N</t>
  </si>
  <si>
    <t>loc="N6"</t>
    <phoneticPr fontId="4" type="noConversion"/>
  </si>
  <si>
    <t>0x9E[3]</t>
  </si>
  <si>
    <t>Bit 3 : psu1_alert_n_ovr</t>
  </si>
  <si>
    <t>0x15[4]</t>
  </si>
  <si>
    <t xml:space="preserve">PWRGD_PVCCFA_EHV_CPU1_R	</t>
  </si>
  <si>
    <t>0x69[6]</t>
    <phoneticPr fontId="4" type="noConversion"/>
  </si>
  <si>
    <t>CPUMEMpowerVRHOT-IRQ_CPU1_MEM_VRHOT_N</t>
  </si>
  <si>
    <t>0x9E[2]</t>
  </si>
  <si>
    <t>Bit 2 : irq_hsc_fault_n_ovr</t>
  </si>
  <si>
    <t>0x15[3]</t>
  </si>
  <si>
    <t xml:space="preserve">PWRGD_PVCCFA_EHV_FIVRA_CPU1_R	</t>
  </si>
  <si>
    <t>0x69[5]</t>
  </si>
  <si>
    <t>CPUMEMHOT-H_CPU0_MEMHOT_IN_LVC1_R_N</t>
  </si>
  <si>
    <t>loc="A19"</t>
  </si>
  <si>
    <t>0x9E[1]</t>
  </si>
  <si>
    <t>Bit 1 : pdb_alert3_en_n_ovr</t>
  </si>
  <si>
    <t>0x15[2]</t>
  </si>
  <si>
    <t xml:space="preserve">PWRGD_PVCCIN_CPU1_R	</t>
  </si>
  <si>
    <t>0x69[4]</t>
  </si>
  <si>
    <t>CPUMEMHOT-H_CPU1_MEMHOT_IN_LVC1_R_N</t>
  </si>
  <si>
    <t>loc="B19"</t>
    <phoneticPr fontId="4" type="noConversion"/>
  </si>
  <si>
    <t>0x9E[0]</t>
  </si>
  <si>
    <t>Bit 0 : pdb_alert2_en_n_ovr</t>
  </si>
  <si>
    <t>0x15[1]</t>
  </si>
  <si>
    <t xml:space="preserve">PWRGD_PVCCINF_CPU1_R	</t>
  </si>
  <si>
    <t>0x69[3]</t>
  </si>
  <si>
    <t>CPUMEMHOTEventtoCPLD-H_CPU0_MEMHOT_OUT_LVC1_R2_N</t>
  </si>
  <si>
    <t>loc="A18"</t>
  </si>
  <si>
    <t>0x9F</t>
  </si>
  <si>
    <t>0x15[0]</t>
  </si>
  <si>
    <t>PWRGD_PVNN_MAIN_CPU1_R</t>
  </si>
  <si>
    <t>0x69[2]</t>
  </si>
  <si>
    <t>CPUMEMHOTEventtoCPLD-H_CPU1_MEMHOT_OUT_LVC1_R2_N</t>
  </si>
  <si>
    <t>loc="B20"</t>
    <phoneticPr fontId="4" type="noConversion"/>
  </si>
  <si>
    <t>0x9F[7]</t>
  </si>
  <si>
    <t>Bit 7 : pdb_alert1_en_n_ovr</t>
  </si>
  <si>
    <t>0x69[1]</t>
  </si>
  <si>
    <t>CPUPROCHOTtoCPLDviaSGPIOI/F-FM_CPU0_BMC_PROCHOT_LVC1_N</t>
  </si>
  <si>
    <t>0x9F[6]</t>
  </si>
  <si>
    <t>Bit 6 : oc1_usb_n_ovr</t>
  </si>
  <si>
    <t>0x69[0]</t>
  </si>
  <si>
    <t>CPUPROCHOTtoCPLDviaSGPIOI/F-FM_CPU1_BMC_PROCHOT_LVC1_N</t>
  </si>
  <si>
    <t>0x9F[5]</t>
  </si>
  <si>
    <t>Bit 5 : rm_throttle_en_bmc_n_ovr</t>
  </si>
  <si>
    <t>0x6A[7:0]</t>
    <phoneticPr fontId="4" type="noConversion"/>
  </si>
  <si>
    <t>0x9F[4]</t>
  </si>
  <si>
    <t>Bit 4 : pbreak_en_n_ovr</t>
  </si>
  <si>
    <t>0x6A[7]</t>
    <phoneticPr fontId="4" type="noConversion"/>
  </si>
  <si>
    <t>LM393CurrentalerttoCPLDtriggerFASTPROCHOT-CURRENT_ALERT_N</t>
    <phoneticPr fontId="4" type="noConversion"/>
  </si>
  <si>
    <t>loc="M16"</t>
  </si>
  <si>
    <t>0x9F[3]</t>
  </si>
  <si>
    <t>Bit 3 : pwrbrk_sli_oe_n_ovr</t>
  </si>
  <si>
    <t>0x6A[6]</t>
    <phoneticPr fontId="4" type="noConversion"/>
  </si>
  <si>
    <t>LM393VOLTAGEAlerttoCPLDtriggerFASTPROCHOT-VOLTAGE_ALERT_N</t>
  </si>
  <si>
    <t>loc="W15"</t>
  </si>
  <si>
    <t>0x9F[2]</t>
  </si>
  <si>
    <t>Bit 2 : irq_tpm_spi_n_ovr</t>
  </si>
  <si>
    <t>0x6A[5]</t>
  </si>
  <si>
    <t>POWER_FAIL_NassertwhenP12Vunder10.5V-POWER_FAIL_N</t>
  </si>
  <si>
    <t>loc="M17"</t>
  </si>
  <si>
    <t>0x9F[1]</t>
  </si>
  <si>
    <t>0x6A[4]</t>
  </si>
  <si>
    <t>PDBALERT1(PDBovervoltage)toCPLD-PDB_ALERT1_N</t>
  </si>
  <si>
    <t>loc="V17",HPDB_48V_OC_ALERT1_N</t>
    <phoneticPr fontId="4" type="noConversion"/>
  </si>
  <si>
    <t>0x9F[0]</t>
  </si>
  <si>
    <t>0x6A[3]</t>
  </si>
  <si>
    <t>PDBALERT2(PDBovercurrent)toCPLD-PDB_ALERT2_N</t>
  </si>
  <si>
    <t>loc="U18",HPDB_48V_UV_ALERT2_N</t>
    <phoneticPr fontId="4" type="noConversion"/>
  </si>
  <si>
    <t>0x6A[2]</t>
  </si>
  <si>
    <t>PDBALERT3(PDBovercurrent)toCPLD-PDB_ALERT3_N</t>
    <phoneticPr fontId="4" type="noConversion"/>
  </si>
  <si>
    <t>loc="P18",HPDB_VR_ALERT_N</t>
    <phoneticPr fontId="4" type="noConversion"/>
  </si>
  <si>
    <t>0x6A[1]</t>
  </si>
  <si>
    <t>DAM(DelayedAuthenticationMode)debugfeaturetoCPU(Enable:1;Disable:0)-PU_CPU0_DAM_PLD</t>
  </si>
  <si>
    <t>0x6A[0]</t>
  </si>
  <si>
    <t>Reservedas'0'</t>
  </si>
  <si>
    <t>Detail</t>
  </si>
  <si>
    <t>0x26 [7:4]</t>
  </si>
  <si>
    <t>CPLD informs BMC about E1.S hot-plug action</t>
  </si>
  <si>
    <t>0x34 [7:4]</t>
  </si>
  <si>
    <t>BMC_E1S_PERST_CTRL_N</t>
  </si>
  <si>
    <t>0x01 [3:2]</t>
  </si>
  <si>
    <t>{CPU1_LEGACY_SKT_R,CPU0_LEGACY_SKT_R}</t>
  </si>
  <si>
    <t>01</t>
  </si>
  <si>
    <t>0x26 [7]</t>
  </si>
  <si>
    <t xml:space="preserve"> ES1_INTR_N</t>
  </si>
  <si>
    <t>0x34 [7]</t>
  </si>
  <si>
    <t>BMC_E1S_PERST_CTRL_N1</t>
  </si>
  <si>
    <t>CPU0_FRMAGENT_R</t>
  </si>
  <si>
    <t>0x26 [6]</t>
  </si>
  <si>
    <t xml:space="preserve"> ES2_INTR_N</t>
  </si>
  <si>
    <t>0x34 [6]</t>
  </si>
  <si>
    <t>BMC_E1S_PERST_CTRL_N2</t>
  </si>
  <si>
    <t>0x02 [6:5]</t>
  </si>
  <si>
    <t>{CPU1_SCOKET_ID2_R,CPU1_SCOKET_ID1_R}</t>
  </si>
  <si>
    <t>0x26 [5]</t>
  </si>
  <si>
    <t xml:space="preserve"> ES3_INTR_N</t>
  </si>
  <si>
    <t>0x34 [5]</t>
  </si>
  <si>
    <t>BMC_E1S_PERST_CTRL_N3</t>
  </si>
  <si>
    <t>0x02 [2:1]</t>
  </si>
  <si>
    <t>{CPU0_SCOKET_ID2_R,CPU0_SCOKET_ID1_R}</t>
  </si>
  <si>
    <t>0x26 [4]</t>
  </si>
  <si>
    <t xml:space="preserve"> ES4_INTR_N</t>
  </si>
  <si>
    <t>0x34 [4]</t>
  </si>
  <si>
    <t>BMC_E1S_PERST_CTRL_N4</t>
  </si>
  <si>
    <t>0x03 [6:4]</t>
  </si>
  <si>
    <t>{SKU_ID0,SKU_ID1,SKU_ID2}</t>
  </si>
  <si>
    <t>000</t>
  </si>
  <si>
    <t>Mode ID:</t>
  </si>
  <si>
    <t>MODE ID</t>
  </si>
  <si>
    <t>2'b00 / 2'b10</t>
  </si>
  <si>
    <t>NODE ID</t>
  </si>
  <si>
    <t>0x04 [0]</t>
  </si>
  <si>
    <t>FM_I3C_CDP_ENABLE_R_N</t>
  </si>
  <si>
    <t>E1.S EN/PWRGD/PRSNT/ATTN LED/PERST/ALERT/INTR</t>
  </si>
  <si>
    <t>1111</t>
  </si>
  <si>
    <t>0x27 [7:4]</t>
  </si>
  <si>
    <t>Indicate E1.S P12V enable for Esx</t>
  </si>
  <si>
    <t>0x35 [7:4]</t>
  </si>
  <si>
    <t>SSD_INTR_N_CTR</t>
  </si>
  <si>
    <t>0000</t>
  </si>
  <si>
    <t>0x27 [7]</t>
  </si>
  <si>
    <t xml:space="preserve"> ES1_INTR_NP12V_ES1_WE</t>
  </si>
  <si>
    <t>0x35 [7]</t>
  </si>
  <si>
    <t>SSD_INTR_N_CLR1</t>
  </si>
  <si>
    <t>0x28 [7:4]</t>
  </si>
  <si>
    <t>Indicate E1.S present status for Esx</t>
  </si>
  <si>
    <t>0x27 [6]</t>
  </si>
  <si>
    <t xml:space="preserve"> ES2_INTR_NP12V_ES2_WE</t>
  </si>
  <si>
    <t>0x35 [6]</t>
  </si>
  <si>
    <t>SSD_INTR_N_CLR2</t>
  </si>
  <si>
    <t>0x29 [7:4]</t>
  </si>
  <si>
    <t>A signal for CPLD  to enable power rail P3V3_AUX_Esx</t>
  </si>
  <si>
    <t>0x27 [5]</t>
  </si>
  <si>
    <t xml:space="preserve"> ES2_INTR_NP12V_ES3_WE</t>
  </si>
  <si>
    <t>0x35 [5]</t>
  </si>
  <si>
    <t>SSD_INTR_N_CLR3</t>
  </si>
  <si>
    <t>0x2A [7:4]</t>
  </si>
  <si>
    <t>Enable power rail P12V_Esx</t>
  </si>
  <si>
    <t>0x27 [4]</t>
  </si>
  <si>
    <t xml:space="preserve"> ES2_INTR_NP12V_ES4_WE</t>
  </si>
  <si>
    <t>0x35 [4]</t>
  </si>
  <si>
    <t>SSD_INTR_N_CLR4</t>
  </si>
  <si>
    <t>0x2B [7:4]</t>
  </si>
  <si>
    <t>E1.S powergood for Esx</t>
  </si>
  <si>
    <t>Paste LOG Here ( i2cdump -y -a -f 5 0x31 )</t>
  </si>
  <si>
    <t>0x2C [7:4]</t>
  </si>
  <si>
    <t>0x2D [7:4]</t>
  </si>
  <si>
    <t>Enable power rail P3V3_AUX_ES_EN</t>
  </si>
  <si>
    <t>0x2E [7:4]</t>
  </si>
  <si>
    <t>E1.S PERST#</t>
  </si>
  <si>
    <t>10: 00 00 00 00 00 00 00 00 00 00 00 00 00 00 00 00    ................</t>
  </si>
  <si>
    <t>0x2F [7:0]</t>
  </si>
  <si>
    <t>Behavior of E1.S Amber LED</t>
  </si>
  <si>
    <t>0x30 [1]</t>
  </si>
  <si>
    <t>FM_P12V_CXL_EN</t>
  </si>
  <si>
    <t>0x3B [7:0]</t>
  </si>
  <si>
    <t xml:space="preserve"> SLED2 E1S FAULT and LOC Status </t>
  </si>
  <si>
    <t>0x30 [0]</t>
  </si>
  <si>
    <t>E1S_power_control_path</t>
  </si>
  <si>
    <t>PRSNT_ES1_R_N</t>
  </si>
  <si>
    <t>0x3B [7]</t>
  </si>
  <si>
    <t>Bit4 of E1S FAULT on SLED2</t>
  </si>
  <si>
    <t>0x31 [7:0]</t>
  </si>
  <si>
    <t xml:space="preserve"> SLED1 E1S FAULT and LOC Status </t>
  </si>
  <si>
    <t>00000000</t>
  </si>
  <si>
    <t>PRSNT_ES2_R_N</t>
  </si>
  <si>
    <t>0x3B [6]</t>
  </si>
  <si>
    <t>Bit4 of E1S LOC on SLED2</t>
  </si>
  <si>
    <t>0x32 [7:4]</t>
  </si>
  <si>
    <t>P3V3_ES_BMC_EN* {1,2,3,4}</t>
  </si>
  <si>
    <t>PRSNT_ES3_R_N</t>
  </si>
  <si>
    <t>0x3B [5]</t>
  </si>
  <si>
    <t>Bit3 of E1S FAULT on SLED2</t>
  </si>
  <si>
    <t>0x33 [7:4]</t>
  </si>
  <si>
    <t>P12V_ES_BMC_EN* {1,2,3,4}</t>
  </si>
  <si>
    <t>PRSNT_ES4_R_N</t>
  </si>
  <si>
    <t>0x3B [4]</t>
  </si>
  <si>
    <t>Bit3 of E1S LOC on SLED2</t>
  </si>
  <si>
    <t>BMC_E1S_PERST_CTRL_N* {1,2,3,4}</t>
  </si>
  <si>
    <t>0x3B [3]</t>
  </si>
  <si>
    <t>Bit2 of E1S FAULT on SLED2</t>
  </si>
  <si>
    <t>SSD_INTR_N_CTR* {1,2,3,4}</t>
  </si>
  <si>
    <t>0x3B [2]</t>
  </si>
  <si>
    <t>Bit2 of E1S LOC on SLED2</t>
  </si>
  <si>
    <t>0x3A [7:6]</t>
  </si>
  <si>
    <t>{SMB_PEHPCPU0_ALERT_N,SMB_PEHPCPU1_ALERT_N}</t>
  </si>
  <si>
    <t>0x3B [1]</t>
  </si>
  <si>
    <t>Bit1 of E1S FAULT on SLED2</t>
  </si>
  <si>
    <t>0x3B [0]</t>
  </si>
  <si>
    <t>Bit1 of E1S LOC on SLED2</t>
  </si>
  <si>
    <t>0x3C [7:0]</t>
  </si>
  <si>
    <t xml:space="preserve"> SLED3 E1S FAULT and LOC Status </t>
  </si>
  <si>
    <t>0x3D [7:0]</t>
  </si>
  <si>
    <t xml:space="preserve"> SLED4 E1S FAULT and LOC Status </t>
  </si>
  <si>
    <t xml:space="preserve"> P3V3_AUX_Esx</t>
  </si>
  <si>
    <t>Internal State</t>
  </si>
  <si>
    <t>PWRGD_P3V3_AUX_ES1</t>
  </si>
  <si>
    <t>0xA5 [7]</t>
  </si>
  <si>
    <t>SGPIO Link Status (CPLD1-CPLD2)</t>
  </si>
  <si>
    <t xml:space="preserve"> PWRGD_P3V3_AUX_ES2</t>
  </si>
  <si>
    <t>0xA5 [0]</t>
  </si>
  <si>
    <t xml:space="preserve"> PWRGD_P3V3_AUX_ES3</t>
  </si>
  <si>
    <t>0xA6 [7:0]</t>
  </si>
  <si>
    <t>sgpio2_crc_err_count</t>
  </si>
  <si>
    <t xml:space="preserve"> PWRGD_P3V3_AUX_ES4</t>
  </si>
  <si>
    <t>sgpio2_crc_good_count</t>
  </si>
  <si>
    <t>9a</t>
  </si>
  <si>
    <t>0x3C [7]</t>
  </si>
  <si>
    <t>Bit4 of E1S FAULT on SLED3</t>
  </si>
  <si>
    <t>0xA8 [7:4]</t>
  </si>
  <si>
    <t>rvwire_debug_gpi</t>
  </si>
  <si>
    <t>0x3C [6]</t>
  </si>
  <si>
    <t>Bit4 of E1S LOC on SLED3</t>
  </si>
  <si>
    <t>0xA8 [3:0]</t>
  </si>
  <si>
    <t>ivwire_debug_gpo</t>
  </si>
  <si>
    <t>0x3C [5]</t>
  </si>
  <si>
    <t>Bit3 of E1S FAULT on SLED3</t>
  </si>
  <si>
    <t>0xA9 [7:0]</t>
  </si>
  <si>
    <t>iDEBUG_LED</t>
  </si>
  <si>
    <t>10000100</t>
  </si>
  <si>
    <t>0x3C [4]</t>
  </si>
  <si>
    <t>Bit3 of E1S LOC on SLED3</t>
  </si>
  <si>
    <t>0xAA [7:0]</t>
  </si>
  <si>
    <t>Power sequence</t>
  </si>
  <si>
    <t>0x3C [3]</t>
  </si>
  <si>
    <t>Bit2 of E1S FAULT on SLED3</t>
  </si>
  <si>
    <t>0xAB [1]</t>
  </si>
  <si>
    <t>FW_PECI_NODE_GLB_EN</t>
  </si>
  <si>
    <t>0x2A[7]</t>
  </si>
  <si>
    <t>P12V_ES1_EN</t>
  </si>
  <si>
    <t>0x3C [2]</t>
  </si>
  <si>
    <t>Bit2 of E1S LOC on SLED3</t>
  </si>
  <si>
    <t>0xAB [0]</t>
  </si>
  <si>
    <t>FM_STANDALONE_MODE_QS_EN_N</t>
  </si>
  <si>
    <t>0x2A [6]</t>
  </si>
  <si>
    <t>P12V_ES2_EN</t>
  </si>
  <si>
    <t>0x3C [1]</t>
  </si>
  <si>
    <t>Bit1 of E1S FAULT on SLED3</t>
  </si>
  <si>
    <t>Miscellaneous</t>
  </si>
  <si>
    <t>0x2A [5]</t>
  </si>
  <si>
    <t>P12V_ES3_EN</t>
  </si>
  <si>
    <t>0x3C [0]</t>
  </si>
  <si>
    <t>Bit1 of E1S LOC on SLED3</t>
  </si>
  <si>
    <t>AUX Version</t>
  </si>
  <si>
    <t>0x2A [4]</t>
  </si>
  <si>
    <t>P12V_ES4_EN</t>
  </si>
  <si>
    <t>02</t>
  </si>
  <si>
    <t>0x3D [7]</t>
  </si>
  <si>
    <t>Bit4 of E1S FAULT on SLED4</t>
  </si>
  <si>
    <t>0x2B [7]</t>
  </si>
  <si>
    <t>PWRGD_ES1_N</t>
  </si>
  <si>
    <t>0x3D [6]</t>
  </si>
  <si>
    <t>Bit4 of E1S LOC on SLED4</t>
  </si>
  <si>
    <t>0x2B [6]</t>
  </si>
  <si>
    <t>PWRGD_ES2_N</t>
  </si>
  <si>
    <t>0x3D [5]</t>
  </si>
  <si>
    <t>Bit3 of E1S FAULT on SLED4</t>
  </si>
  <si>
    <t>0x2B [5]</t>
  </si>
  <si>
    <t>PWRGD_ES3_N</t>
  </si>
  <si>
    <t>0x3D [4]</t>
  </si>
  <si>
    <t>Bit3 of E1S LOC on SLED4</t>
  </si>
  <si>
    <t>0x2B [4]</t>
  </si>
  <si>
    <t>PWRGD_ES4_N</t>
  </si>
  <si>
    <t>0x3D [3]</t>
  </si>
  <si>
    <t>Bit2 of E1S FAULT on SLED4</t>
  </si>
  <si>
    <t>0x3D [2]</t>
  </si>
  <si>
    <t>Bit2 of E1S LOC on SLED4</t>
  </si>
  <si>
    <t>0x3D [1]</t>
  </si>
  <si>
    <t>Bit1 of E1S FAULT on SLED4</t>
  </si>
  <si>
    <t>0x3D [0]</t>
  </si>
  <si>
    <t>Bit1 of E1S LOC on SLED4</t>
  </si>
  <si>
    <t>0x2C [7]</t>
  </si>
  <si>
    <t>0x2C [6]</t>
  </si>
  <si>
    <t>0x2C [5]</t>
  </si>
  <si>
    <t>0x2C [4]</t>
  </si>
  <si>
    <t>P3V3_AUX_ES_EN</t>
  </si>
  <si>
    <t>0x2D [7]</t>
  </si>
  <si>
    <t>P3V3_AUX_ES1_EN</t>
  </si>
  <si>
    <t>0x2D [6]</t>
  </si>
  <si>
    <t>P3V3_AUX_ES2_EN</t>
  </si>
  <si>
    <t>0x2D [5]</t>
  </si>
  <si>
    <t>P3V3_AUX_ES3_EN</t>
  </si>
  <si>
    <t>0x2D [4]</t>
  </si>
  <si>
    <t>P3V3_AUX_ES4_EN</t>
  </si>
  <si>
    <t>0x2E [7]</t>
  </si>
  <si>
    <t>RST_ES1_PERST_N</t>
  </si>
  <si>
    <t>0x2E [6]</t>
  </si>
  <si>
    <t>RST_ES2_PERST_N</t>
  </si>
  <si>
    <t>0x2E [5]</t>
  </si>
  <si>
    <t>RST_ES3_PERST_N</t>
  </si>
  <si>
    <t>0x2E [4]</t>
  </si>
  <si>
    <t>RST_ES4_PERST_N</t>
  </si>
  <si>
    <t xml:space="preserve"> E1.S Amber LED</t>
  </si>
  <si>
    <t>0x2F [7:6]</t>
  </si>
  <si>
    <t>ATTN_LED_ES4</t>
  </si>
  <si>
    <t>0x2F [5:4]</t>
  </si>
  <si>
    <t>ATTN_LED_ES3</t>
  </si>
  <si>
    <t>0x2F [3:2]</t>
  </si>
  <si>
    <t>ATTN_LED_ES2</t>
  </si>
  <si>
    <t>0x2F [1:0]</t>
  </si>
  <si>
    <t>ATTN_LED_ES1</t>
  </si>
  <si>
    <t>0x31 [7]</t>
  </si>
  <si>
    <t>Bit4 of E1S FAULT on SLED1</t>
  </si>
  <si>
    <t>0x31 [6]</t>
  </si>
  <si>
    <t>Bit4 of E1S LOC on SLED1</t>
  </si>
  <si>
    <t>0x31 [5]</t>
  </si>
  <si>
    <t>Bit3 of E1S FAULT on SLED1</t>
  </si>
  <si>
    <t>0x31 [4]</t>
  </si>
  <si>
    <t>Bit3 of E1S LOC on SLED1</t>
  </si>
  <si>
    <t>0x31 [3]</t>
  </si>
  <si>
    <t>Bit2 of E1S FAULT on SLED1</t>
  </si>
  <si>
    <t>0x31 [2]</t>
  </si>
  <si>
    <t>Bit2 of E1S LOC on SLED1</t>
  </si>
  <si>
    <t>0x31 [1]</t>
  </si>
  <si>
    <t>Bit1 of E1S FAULT on SLED1</t>
  </si>
  <si>
    <t>0x31 [0]</t>
  </si>
  <si>
    <t>Bit1 of E1S LOC on SLED1</t>
  </si>
  <si>
    <t>P3V3_ES_BMC_EN*</t>
  </si>
  <si>
    <t>P3V3_ES_BMC_EN1</t>
  </si>
  <si>
    <t>P3V3_ES_BMC_EN2</t>
  </si>
  <si>
    <t>P3V3_ES_BMC_EN3</t>
  </si>
  <si>
    <t>P3V3_ES_BMC_EN4</t>
  </si>
  <si>
    <t>P12V_ES_BMC_EN</t>
  </si>
  <si>
    <t>0x33 [7]</t>
  </si>
  <si>
    <t>P12V_ES_BMC_EN1</t>
  </si>
  <si>
    <t>0x33 [6]</t>
  </si>
  <si>
    <t>P12V_ES_BMC_EN2</t>
  </si>
  <si>
    <t>0x33 [5]</t>
  </si>
  <si>
    <t>P12V_ES_BMC_EN3</t>
  </si>
  <si>
    <t>0x33 [4]</t>
  </si>
  <si>
    <t>P12V_ES_BMC_EN4</t>
  </si>
  <si>
    <t>00: 00 00 c3 0c 03 80 00 03 00 ff fe 00 00 fc 00 00    ..????.?..?..?..</t>
  </si>
  <si>
    <t>30: 00 00 00 00 00 00 00 00 00 00 00 00 00 00 00 00    ................</t>
  </si>
  <si>
    <t>b0: 10 00 00 00 00 00 00 00 00 00 00 00 00 00 00 00    ?...............</t>
  </si>
  <si>
    <t>00: 00 05 10 0c 01 00 00 00 00 00 00 00 00 00 00 00    .????...........</t>
  </si>
  <si>
    <t>c0: 0c e4 cc 43 34 33 41 42 00 00 00 00 00 00 00 00    ???C43AB........</t>
  </si>
  <si>
    <t>CPU0_AUX_status (cpu_aux)</t>
    <phoneticPr fontId="4" type="noConversion"/>
  </si>
  <si>
    <t>CPU1_AUX_status (cpu_aux)</t>
    <phoneticPr fontId="4" type="noConversion"/>
  </si>
  <si>
    <t>Reserved</t>
    <phoneticPr fontId="4" type="noConversion"/>
  </si>
  <si>
    <t>SCM AUX (HPM STBY_EN)</t>
    <phoneticPr fontId="4" type="noConversion"/>
  </si>
  <si>
    <t xml:space="preserve">PWRGD_PVCCD1_HV_CPU0_R	</t>
    <phoneticPr fontId="4" type="noConversion"/>
  </si>
  <si>
    <t xml:space="preserve">PWRGD_PVCCD0_HV_CPU0_R	</t>
    <phoneticPr fontId="4" type="noConversion"/>
  </si>
  <si>
    <t>PWRGD_AUX_PWRGD_CPU1_PLD</t>
    <phoneticPr fontId="4" type="noConversion"/>
  </si>
  <si>
    <t>Don't care</t>
    <phoneticPr fontId="4" type="noConversion"/>
  </si>
  <si>
    <t>10: 00 00 00 00 00 00 00 00 00 64 06 1e 00 0f 02 00    .........d??.??.</t>
  </si>
  <si>
    <t>30: 00 00 00 00 2d 90 00 00 00 00 f0 00 00 00 00 00    ....-?....?.....</t>
  </si>
  <si>
    <t>50: 10 04 02 0d 01 00 00 00 00 00 1a 04 17 06 00 00    ?????.....????..</t>
  </si>
  <si>
    <t>60: 10 00 02 18 01 00 00 00 00 00 1a 04 17 06 00 00    ?.???.....????..</t>
  </si>
  <si>
    <t>a0: 00 00 00 00 00 00 31 00 d1 00 00 00 00 00 00 00    ......1.?.......</t>
  </si>
  <si>
    <t>f0: cd 1f 1f 00 00 00 00 00 00 00 00 00 00 00 02 0a    ???...........??</t>
  </si>
  <si>
    <t>00: 10 00 00 00 ff 33 0f ff ff ff ff 00 00 00 00 00    ?....s?.........</t>
    <phoneticPr fontId="4" type="noConversion"/>
  </si>
  <si>
    <t>00: 36 01 01 0f 03 00 00 00 86 cd 09 ff 1b 00 00 00    6????...???.?...</t>
  </si>
  <si>
    <t>10: bf be eb f8 ff ff ff f7 9f 0f 00 00 00 00 00 00    ????...???......</t>
  </si>
  <si>
    <t>20: 63 4c de ce 7f 0d 00 00 fe 1f 00 00 00 00 00 00    cL????..??......</t>
  </si>
  <si>
    <t>f0: 00 03 06 00 07 18 25 00 00 00 00 00 00 00 00 00    .??.??%.........</t>
  </si>
  <si>
    <t>20: 00 00 00 00 00 ff 00 ff 00 f0 ff 00 f0 f0 0f 00    .........?..???.</t>
  </si>
  <si>
    <t>30: 01 00 f7 f0 f0 00 00 00 00 00 00 00 00 00 04 06    ?.???.........??</t>
  </si>
  <si>
    <t>a0: 00 00 00 00 00 80 00 1c 00 19 19 01 00 00 00 03    .....?.?.???...?</t>
  </si>
  <si>
    <t>f0: 00 00 00 00 00 00 00 00 00 00 00 00 00 00 02 08    ..............??</t>
  </si>
  <si>
    <t>10: ff c0 fe c0 ff ff 00 00 00 00 00 60 60 a0 a0 f0    .???.......``???</t>
  </si>
  <si>
    <t>20: f0 f0 f0 00 00 e0 00 00 00 00 00 00 00 03 0f 00    ???..?.......??.</t>
  </si>
  <si>
    <t>40: 80 00 00 00 00 00 00 00 00 00 00 00 00 00 00 00    ?...............</t>
  </si>
  <si>
    <t>50: 3f c0 00 00 00 00 00 00 00 00 00 00 00 00 00 00    ??..............</t>
  </si>
  <si>
    <t>60: e0 00 00 ff 00 00 67 f9 ff ff fc 00 00 00 00 00    ?.....g?..?.....</t>
  </si>
  <si>
    <t>70: 00 00 00 00 00 00 00 00 f0 00 00 c0 00 00 7b 00    ........?..?..{.</t>
  </si>
  <si>
    <t>80: 00 cf 00 00 e0 00 00 c0 00 00 00 00 00 00 00 00    .?..?..?........</t>
  </si>
  <si>
    <t>90: 00 00 00 00 00 00 00 00 00 00 00 00 80 00 01 08    ............?.??</t>
  </si>
  <si>
    <t>a0: 4f 90 40 55 fc ff c0 00 03 00 66 00 9b 01 00 00    O?@U?.?.?.f.??..</t>
  </si>
  <si>
    <t>f0: 00 00 00 00 00 00 00 00 00 00 00 00 00 00 02 0a    ..............??</t>
  </si>
  <si>
    <t>CPU0 (From CLD2 via SGPIO)</t>
    <phoneticPr fontId="4" type="noConversion"/>
  </si>
  <si>
    <t>CPU1 (From CLD2 via SGPIO)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</si>
</sst>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FFFF00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5" borderId="6" xfId="0" applyFont="1" applyFill="1" applyBorder="1"/>
    <xf numFmtId="0" fontId="5" fillId="0" borderId="6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3" borderId="6" xfId="0" applyFont="1" applyFill="1" applyBorder="1"/>
    <xf numFmtId="0" fontId="9" fillId="3" borderId="6" xfId="0" applyFont="1" applyFill="1" applyBorder="1" applyAlignment="1">
      <alignment horizontal="center"/>
    </xf>
    <xf numFmtId="0" fontId="5" fillId="7" borderId="6" xfId="0" applyFont="1" applyFill="1" applyBorder="1"/>
    <xf numFmtId="0" fontId="5" fillId="6" borderId="6" xfId="0" applyFont="1" applyFill="1" applyBorder="1"/>
    <xf numFmtId="0" fontId="5" fillId="9" borderId="6" xfId="0" applyFont="1" applyFill="1" applyBorder="1"/>
    <xf numFmtId="0" fontId="5" fillId="3" borderId="6" xfId="0" applyFont="1" applyFill="1" applyBorder="1" applyAlignment="1">
      <alignment horizontal="center"/>
    </xf>
    <xf numFmtId="0" fontId="9" fillId="5" borderId="6" xfId="0" applyFont="1" applyFill="1" applyBorder="1"/>
    <xf numFmtId="0" fontId="11" fillId="3" borderId="6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5" fillId="10" borderId="6" xfId="0" applyFont="1" applyFill="1" applyBorder="1"/>
    <xf numFmtId="0" fontId="7" fillId="0" borderId="6" xfId="0" applyFont="1" applyBorder="1" applyAlignment="1">
      <alignment horizontal="center"/>
    </xf>
    <xf numFmtId="0" fontId="10" fillId="3" borderId="6" xfId="0" applyFont="1" applyFill="1" applyBorder="1"/>
    <xf numFmtId="0" fontId="5" fillId="5" borderId="6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3" fillId="0" borderId="0" xfId="0" applyFont="1"/>
    <xf numFmtId="0" fontId="5" fillId="6" borderId="1" xfId="0" applyFont="1" applyFill="1" applyBorder="1" applyAlignment="1">
      <alignment horizontal="right"/>
    </xf>
    <xf numFmtId="0" fontId="5" fillId="6" borderId="23" xfId="0" applyFont="1" applyFill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10" fillId="0" borderId="6" xfId="0" applyFont="1" applyBorder="1"/>
    <xf numFmtId="0" fontId="10" fillId="0" borderId="7" xfId="0" applyFont="1" applyBorder="1"/>
    <xf numFmtId="0" fontId="5" fillId="15" borderId="7" xfId="0" applyFont="1" applyFill="1" applyBorder="1"/>
    <xf numFmtId="0" fontId="5" fillId="15" borderId="6" xfId="0" applyFont="1" applyFill="1" applyBorder="1"/>
    <xf numFmtId="0" fontId="5" fillId="6" borderId="6" xfId="0" applyFont="1" applyFill="1" applyBorder="1" applyAlignment="1">
      <alignment horizontal="right"/>
    </xf>
    <xf numFmtId="0" fontId="5" fillId="12" borderId="6" xfId="0" applyFont="1" applyFill="1" applyBorder="1" applyAlignment="1">
      <alignment horizontal="right"/>
    </xf>
    <xf numFmtId="0" fontId="5" fillId="13" borderId="6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14" borderId="20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4" borderId="21" xfId="0" applyFont="1" applyFill="1" applyBorder="1" applyAlignment="1">
      <alignment horizontal="center"/>
    </xf>
    <xf numFmtId="0" fontId="1" fillId="0" borderId="0" xfId="0" applyFont="1"/>
    <xf numFmtId="0" fontId="1" fillId="0" borderId="20" xfId="0" applyFont="1" applyBorder="1"/>
    <xf numFmtId="0" fontId="1" fillId="0" borderId="2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2" xfId="0" applyFont="1" applyBorder="1"/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indent="3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0" borderId="1" xfId="0" applyFont="1" applyBorder="1"/>
    <xf numFmtId="0" fontId="1" fillId="0" borderId="11" xfId="0" applyFont="1" applyBorder="1"/>
    <xf numFmtId="0" fontId="1" fillId="0" borderId="12" xfId="0" applyFont="1" applyBorder="1"/>
    <xf numFmtId="0" fontId="1" fillId="5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quotePrefix="1" applyFont="1" applyBorder="1" applyAlignment="1">
      <alignment horizontal="right"/>
    </xf>
    <xf numFmtId="0" fontId="1" fillId="2" borderId="2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6" xfId="0" applyFont="1" applyBorder="1" applyAlignment="1">
      <alignment horizontal="center"/>
    </xf>
    <xf numFmtId="0" fontId="1" fillId="2" borderId="6" xfId="0" applyFont="1" applyFill="1" applyBorder="1"/>
    <xf numFmtId="0" fontId="1" fillId="0" borderId="6" xfId="0" applyFont="1" applyBorder="1"/>
    <xf numFmtId="0" fontId="1" fillId="6" borderId="6" xfId="0" applyFont="1" applyFill="1" applyBorder="1"/>
    <xf numFmtId="0" fontId="1" fillId="0" borderId="6" xfId="0" applyFont="1" applyBorder="1" applyAlignment="1">
      <alignment horizontal="right"/>
    </xf>
    <xf numFmtId="0" fontId="1" fillId="3" borderId="6" xfId="0" applyFont="1" applyFill="1" applyBorder="1"/>
    <xf numFmtId="0" fontId="1" fillId="7" borderId="6" xfId="0" applyFont="1" applyFill="1" applyBorder="1"/>
    <xf numFmtId="0" fontId="1" fillId="3" borderId="6" xfId="0" applyFont="1" applyFill="1" applyBorder="1" applyAlignment="1">
      <alignment horizontal="left"/>
    </xf>
    <xf numFmtId="0" fontId="1" fillId="3" borderId="0" xfId="0" applyFont="1" applyFill="1"/>
    <xf numFmtId="0" fontId="1" fillId="0" borderId="6" xfId="0" applyFont="1" applyBorder="1" applyAlignment="1">
      <alignment horizontal="left"/>
    </xf>
    <xf numFmtId="0" fontId="1" fillId="0" borderId="0" xfId="0" quotePrefix="1" applyFont="1"/>
    <xf numFmtId="0" fontId="1" fillId="12" borderId="6" xfId="0" applyFont="1" applyFill="1" applyBorder="1"/>
    <xf numFmtId="0" fontId="1" fillId="3" borderId="7" xfId="0" applyFont="1" applyFill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/>
    <xf numFmtId="0" fontId="1" fillId="0" borderId="6" xfId="0" applyFont="1" applyBorder="1" applyAlignment="1">
      <alignment vertical="center" wrapText="1"/>
    </xf>
    <xf numFmtId="0" fontId="1" fillId="13" borderId="6" xfId="0" applyFont="1" applyFill="1" applyBorder="1"/>
    <xf numFmtId="0" fontId="1" fillId="9" borderId="6" xfId="0" applyFont="1" applyFill="1" applyBorder="1"/>
    <xf numFmtId="0" fontId="1" fillId="0" borderId="1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10" borderId="6" xfId="0" applyFont="1" applyFill="1" applyBorder="1"/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5" fillId="5" borderId="3" xfId="0" applyFont="1" applyFill="1" applyBorder="1"/>
    <xf numFmtId="0" fontId="1" fillId="2" borderId="1" xfId="0" applyFont="1" applyFill="1" applyBorder="1"/>
    <xf numFmtId="0" fontId="5" fillId="5" borderId="1" xfId="0" applyFont="1" applyFill="1" applyBorder="1"/>
    <xf numFmtId="0" fontId="1" fillId="0" borderId="26" xfId="0" applyFont="1" applyBorder="1"/>
    <xf numFmtId="0" fontId="1" fillId="0" borderId="27" xfId="0" applyFont="1" applyBorder="1" applyAlignment="1">
      <alignment horizontal="right"/>
    </xf>
    <xf numFmtId="0" fontId="1" fillId="0" borderId="28" xfId="0" applyFont="1" applyBorder="1"/>
    <xf numFmtId="0" fontId="1" fillId="0" borderId="26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1" fillId="0" borderId="30" xfId="0" applyFont="1" applyBorder="1" applyAlignment="1">
      <alignment horizontal="right"/>
    </xf>
    <xf numFmtId="0" fontId="1" fillId="0" borderId="28" xfId="0" applyFont="1" applyBorder="1" applyAlignment="1">
      <alignment horizontal="right"/>
    </xf>
    <xf numFmtId="0" fontId="1" fillId="0" borderId="26" xfId="0" applyFont="1" applyBorder="1" applyAlignment="1">
      <alignment horizontal="right"/>
    </xf>
    <xf numFmtId="0" fontId="5" fillId="0" borderId="6" xfId="0" applyFont="1" applyBorder="1"/>
    <xf numFmtId="0" fontId="1" fillId="6" borderId="6" xfId="0" applyFont="1" applyFill="1" applyBorder="1" applyAlignment="1">
      <alignment horizontal="right"/>
    </xf>
    <xf numFmtId="9" fontId="1" fillId="0" borderId="6" xfId="0" applyNumberFormat="1" applyFont="1" applyBorder="1" applyAlignment="1">
      <alignment horizontal="right"/>
    </xf>
    <xf numFmtId="0" fontId="5" fillId="7" borderId="6" xfId="0" applyFont="1" applyFill="1" applyBorder="1" applyAlignment="1">
      <alignment horizontal="right"/>
    </xf>
    <xf numFmtId="0" fontId="5" fillId="16" borderId="3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0" xfId="0" applyFont="1"/>
    <xf numFmtId="0" fontId="5" fillId="6" borderId="1" xfId="0" applyFont="1" applyFill="1" applyBorder="1"/>
    <xf numFmtId="0" fontId="0" fillId="0" borderId="6" xfId="0" applyBorder="1"/>
    <xf numFmtId="0" fontId="1" fillId="17" borderId="6" xfId="0" applyFont="1" applyFill="1" applyBorder="1"/>
    <xf numFmtId="0" fontId="1" fillId="14" borderId="34" xfId="0" applyFont="1" applyFill="1" applyBorder="1" applyAlignment="1">
      <alignment horizontal="center"/>
    </xf>
    <xf numFmtId="0" fontId="1" fillId="14" borderId="35" xfId="0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/>
    <xf numFmtId="0" fontId="1" fillId="0" borderId="37" xfId="0" applyFont="1" applyBorder="1"/>
    <xf numFmtId="0" fontId="1" fillId="17" borderId="34" xfId="0" applyFont="1" applyFill="1" applyBorder="1"/>
    <xf numFmtId="0" fontId="0" fillId="0" borderId="35" xfId="0" applyBorder="1"/>
    <xf numFmtId="0" fontId="1" fillId="0" borderId="35" xfId="0" applyFont="1" applyBorder="1"/>
    <xf numFmtId="0" fontId="1" fillId="0" borderId="38" xfId="0" applyFont="1" applyBorder="1"/>
    <xf numFmtId="0" fontId="1" fillId="0" borderId="39" xfId="0" applyFont="1" applyBorder="1" applyAlignment="1">
      <alignment horizontal="right"/>
    </xf>
    <xf numFmtId="0" fontId="5" fillId="6" borderId="39" xfId="0" applyFont="1" applyFill="1" applyBorder="1" applyAlignment="1">
      <alignment horizontal="right"/>
    </xf>
    <xf numFmtId="0" fontId="1" fillId="0" borderId="40" xfId="0" applyFont="1" applyBorder="1"/>
    <xf numFmtId="0" fontId="5" fillId="0" borderId="0" xfId="0" applyFont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right"/>
    </xf>
    <xf numFmtId="0" fontId="5" fillId="6" borderId="6" xfId="0" applyFont="1" applyFill="1" applyBorder="1" applyAlignment="1">
      <alignment horizontal="left"/>
    </xf>
    <xf numFmtId="0" fontId="5" fillId="9" borderId="6" xfId="0" applyFont="1" applyFill="1" applyBorder="1" applyAlignment="1">
      <alignment horizontal="left"/>
    </xf>
    <xf numFmtId="0" fontId="1" fillId="0" borderId="25" xfId="0" applyFont="1" applyBorder="1" applyAlignment="1">
      <alignment horizontal="right"/>
    </xf>
    <xf numFmtId="0" fontId="1" fillId="6" borderId="7" xfId="0" applyFont="1" applyFill="1" applyBorder="1" applyAlignment="1">
      <alignment horizontal="right"/>
    </xf>
    <xf numFmtId="0" fontId="1" fillId="0" borderId="27" xfId="0" quotePrefix="1" applyFont="1" applyBorder="1" applyAlignment="1">
      <alignment horizontal="right"/>
    </xf>
    <xf numFmtId="0" fontId="1" fillId="6" borderId="41" xfId="0" applyFont="1" applyFill="1" applyBorder="1" applyAlignment="1">
      <alignment horizontal="right"/>
    </xf>
    <xf numFmtId="0" fontId="1" fillId="0" borderId="25" xfId="0" applyFont="1" applyBorder="1"/>
    <xf numFmtId="0" fontId="5" fillId="16" borderId="6" xfId="0" applyFont="1" applyFill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1" xfId="0" applyFont="1" applyBorder="1"/>
    <xf numFmtId="0" fontId="0" fillId="0" borderId="6" xfId="0" applyBorder="1" applyAlignment="1">
      <alignment horizontal="right"/>
    </xf>
    <xf numFmtId="0" fontId="9" fillId="3" borderId="6" xfId="0" applyFont="1" applyFill="1" applyBorder="1"/>
    <xf numFmtId="0" fontId="9" fillId="3" borderId="6" xfId="0" applyFont="1" applyFill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5" fillId="10" borderId="6" xfId="0" applyFont="1" applyFill="1" applyBorder="1" applyAlignment="1">
      <alignment horizontal="center"/>
    </xf>
    <xf numFmtId="0" fontId="1" fillId="0" borderId="30" xfId="0" applyFont="1" applyBorder="1"/>
    <xf numFmtId="0" fontId="1" fillId="0" borderId="29" xfId="0" applyFont="1" applyBorder="1"/>
    <xf numFmtId="1" fontId="1" fillId="0" borderId="1" xfId="0" applyNumberFormat="1" applyFont="1" applyBorder="1" applyAlignment="1">
      <alignment horizontal="right"/>
    </xf>
    <xf numFmtId="0" fontId="1" fillId="3" borderId="3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7" fillId="4" borderId="0" xfId="0" applyFont="1" applyFill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</cellXfs>
  <cellStyles count="1">
    <cellStyle name="一般" xfId="0" builtinId="0"/>
  </cellStyles>
  <dxfs count="7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b val="0"/>
        <i val="0"/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161925</xdr:colOff>
      <xdr:row>19</xdr:row>
      <xdr:rowOff>47625</xdr:rowOff>
    </xdr:from>
    <xdr:to>
      <xdr:col>23</xdr:col>
      <xdr:colOff>438150</xdr:colOff>
      <xdr:row>31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8C97FF-5B8D-C9C5-1DDB-57D0A5501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3495675"/>
          <a:ext cx="4562475" cy="2333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18</xdr:row>
      <xdr:rowOff>161925</xdr:rowOff>
    </xdr:from>
    <xdr:to>
      <xdr:col>23</xdr:col>
      <xdr:colOff>339725</xdr:colOff>
      <xdr:row>30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217EB2-47C0-AD6B-E9FB-4A255DBA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9050" y="3600450"/>
          <a:ext cx="4568825" cy="228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85725</xdr:colOff>
      <xdr:row>18</xdr:row>
      <xdr:rowOff>180975</xdr:rowOff>
    </xdr:from>
    <xdr:to>
      <xdr:col>23</xdr:col>
      <xdr:colOff>371475</xdr:colOff>
      <xdr:row>31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4F521F-1688-B864-E259-D8DF14314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3619500"/>
          <a:ext cx="4572000" cy="2324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18</xdr:row>
      <xdr:rowOff>171450</xdr:rowOff>
    </xdr:from>
    <xdr:to>
      <xdr:col>23</xdr:col>
      <xdr:colOff>301625</xdr:colOff>
      <xdr:row>31</xdr:row>
      <xdr:rowOff>12247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6EBF41-12B4-B4B0-111B-71D0EF8F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0475" y="3609975"/>
          <a:ext cx="4559300" cy="23045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uang27\Documents\C4xAB\2_Register_Map\trouble%20shooting%20i2c_0709.xlsx" TargetMode="External"/><Relationship Id="rId1" Type="http://schemas.openxmlformats.org/officeDocument/2006/relationships/externalLinkPath" Target="/Users/phuang27/Documents/C4xAB/2_Register_Map/trouble%20shooting%20i2c_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analysis"/>
      <sheetName val="SCM reg"/>
      <sheetName val="CPLD1 reg"/>
      <sheetName val="CPLD2 reg"/>
      <sheetName val="GLB reg"/>
    </sheetNames>
    <sheetDataSet>
      <sheetData sheetId="0"/>
      <sheetData sheetId="1"/>
      <sheetData sheetId="2">
        <row r="5">
          <cell r="Q5" t="str">
            <v>05</v>
          </cell>
          <cell r="AH5" t="str">
            <v>00000101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5CD3-1B85-4EB6-8E9A-A7EBCBC46486}">
  <dimension ref="B1:U56"/>
  <sheetViews>
    <sheetView topLeftCell="A30" zoomScale="85" zoomScaleNormal="85" workbookViewId="0">
      <selection activeCell="G46" sqref="G46"/>
    </sheetView>
  </sheetViews>
  <sheetFormatPr defaultRowHeight="14.25" customHeight="1" x14ac:dyDescent="0.3"/>
  <cols>
    <col min="2" max="2" width="35.296875" customWidth="1"/>
    <col min="3" max="3" width="10.69921875" customWidth="1"/>
    <col min="4" max="4" width="12.3984375" customWidth="1"/>
    <col min="5" max="5" width="21.296875" customWidth="1"/>
    <col min="6" max="7" width="44.59765625" customWidth="1"/>
    <col min="8" max="8" width="11.8984375" customWidth="1"/>
    <col min="9" max="9" width="31.59765625" customWidth="1"/>
    <col min="10" max="10" width="49" customWidth="1"/>
    <col min="11" max="11" width="22.69921875" customWidth="1"/>
  </cols>
  <sheetData>
    <row r="1" spans="2:21" ht="14.5" x14ac:dyDescent="0.3"/>
    <row r="2" spans="2:21" ht="14.5" x14ac:dyDescent="0.3">
      <c r="B2" s="153" t="s">
        <v>0</v>
      </c>
      <c r="C2" s="154"/>
      <c r="D2" s="154"/>
      <c r="E2" s="154"/>
      <c r="F2" s="155"/>
      <c r="G2" s="40"/>
    </row>
    <row r="3" spans="2:21" ht="14.5" x14ac:dyDescent="0.3">
      <c r="B3" s="41" t="s">
        <v>1</v>
      </c>
      <c r="C3" s="161" t="s">
        <v>2</v>
      </c>
      <c r="D3" s="162"/>
      <c r="E3" s="42" t="s">
        <v>3</v>
      </c>
      <c r="F3" s="43" t="s">
        <v>4</v>
      </c>
      <c r="G3" s="40"/>
      <c r="H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2:21" ht="14.5" x14ac:dyDescent="0.3">
      <c r="B4" s="156" t="s">
        <v>5</v>
      </c>
      <c r="C4" s="157"/>
      <c r="D4" s="157"/>
      <c r="E4" s="157"/>
      <c r="F4" s="158"/>
      <c r="G4" s="40"/>
      <c r="P4" s="44"/>
      <c r="Q4" s="44"/>
      <c r="R4" s="44"/>
      <c r="S4" s="44"/>
      <c r="T4" s="44"/>
      <c r="U4" s="44"/>
    </row>
    <row r="5" spans="2:21" ht="14.5" x14ac:dyDescent="0.3">
      <c r="B5" s="45" t="s">
        <v>6</v>
      </c>
      <c r="C5" s="166" t="str">
        <f>'CPLD1 reg'!AO18</f>
        <v>00</v>
      </c>
      <c r="D5" s="167"/>
      <c r="E5" s="28" t="str">
        <f>IF(C5="00","2S",IF(C5="01","8S",IF(C5="10","!!!D2ScheckFRU!!!",IF(C5="11","4S","ERR"))))</f>
        <v>2S</v>
      </c>
      <c r="F5" s="46"/>
      <c r="G5" s="40"/>
      <c r="P5" s="44"/>
      <c r="Q5" s="44"/>
      <c r="R5" s="44"/>
      <c r="S5" s="44"/>
      <c r="T5" s="44"/>
      <c r="U5" s="44"/>
    </row>
    <row r="6" spans="2:21" ht="14.5" x14ac:dyDescent="0.3">
      <c r="B6" s="45" t="s">
        <v>7</v>
      </c>
      <c r="C6" s="166" t="str">
        <f>'CPLD1 reg'!AO17</f>
        <v>11</v>
      </c>
      <c r="D6" s="167"/>
      <c r="E6" s="28" t="str">
        <f>IF(C6="00","SLED0",IF(C6="01","SLED1",IF(C6="10","SLED2",IF(C6="11","SLED3","ERR"))))</f>
        <v>SLED3</v>
      </c>
      <c r="F6" s="46"/>
      <c r="G6" s="40"/>
      <c r="P6" s="44"/>
      <c r="Q6" s="44"/>
      <c r="R6" s="44"/>
      <c r="S6" s="44"/>
      <c r="T6" s="44"/>
      <c r="U6" s="44"/>
    </row>
    <row r="7" spans="2:21" ht="14.5" x14ac:dyDescent="0.3">
      <c r="B7" s="45" t="s">
        <v>8</v>
      </c>
      <c r="C7" s="166" t="str">
        <f>'CPLD1 reg'!AO14</f>
        <v>110</v>
      </c>
      <c r="D7" s="167"/>
      <c r="E7" s="28" t="str">
        <f>IF(C7="000","POC",IF(C7="100","EVT",IF(C7="010","DVT",IF(C7="110","PVT",IF(C7="001","MP","")))))</f>
        <v>PVT</v>
      </c>
      <c r="F7" s="46"/>
      <c r="G7" s="40"/>
      <c r="P7" s="44"/>
      <c r="Q7" s="44"/>
      <c r="R7" s="44"/>
      <c r="S7" s="44"/>
      <c r="T7" s="44"/>
      <c r="U7" s="44"/>
    </row>
    <row r="8" spans="2:21" ht="14.5" x14ac:dyDescent="0.3">
      <c r="B8" s="45" t="s">
        <v>9</v>
      </c>
      <c r="C8" s="166" t="str">
        <f>'SCM reg'!AO22</f>
        <v>011</v>
      </c>
      <c r="D8" s="167"/>
      <c r="E8" s="28" t="str">
        <f>IF(C8="000","POC",IF(C8="100","EVT",IF(C8="010","DVT",IF(C8="110","PVT",IF(C8="001","MP","")))))</f>
        <v/>
      </c>
      <c r="F8" s="46"/>
      <c r="G8" s="40"/>
      <c r="P8" s="44"/>
      <c r="Q8" s="44"/>
      <c r="R8" s="44"/>
      <c r="S8" s="44"/>
      <c r="T8" s="44"/>
      <c r="U8" s="44"/>
    </row>
    <row r="9" spans="2:21" ht="14.5" x14ac:dyDescent="0.3">
      <c r="B9" s="45" t="s">
        <v>10</v>
      </c>
      <c r="C9" s="166" t="str">
        <f>'CPLD1 reg'!AO8</f>
        <v>0</v>
      </c>
      <c r="D9" s="167"/>
      <c r="E9" s="28" t="str">
        <f>IF(C9="0","CPU0 Install", "No CPU")</f>
        <v>CPU0 Install</v>
      </c>
      <c r="F9" s="46"/>
      <c r="G9" s="40"/>
      <c r="P9" s="44"/>
      <c r="Q9" s="44"/>
      <c r="R9" s="44"/>
      <c r="S9" s="44"/>
      <c r="T9" s="44"/>
      <c r="U9" s="44"/>
    </row>
    <row r="10" spans="2:21" ht="14.5" x14ac:dyDescent="0.3">
      <c r="B10" s="45" t="s">
        <v>11</v>
      </c>
      <c r="C10" s="166" t="str">
        <f>'CPLD1 reg'!AO12</f>
        <v>0</v>
      </c>
      <c r="D10" s="167"/>
      <c r="E10" s="28" t="str">
        <f>IF(C10="0","CPU1 Install", "No CPU")</f>
        <v>CPU1 Install</v>
      </c>
      <c r="F10" s="46"/>
      <c r="G10" s="40"/>
      <c r="P10" s="44"/>
      <c r="Q10" s="44"/>
      <c r="R10" s="44"/>
      <c r="S10" s="44"/>
      <c r="T10" s="44"/>
      <c r="U10" s="44"/>
    </row>
    <row r="11" spans="2:21" ht="14.5" x14ac:dyDescent="0.3">
      <c r="B11" s="159" t="s">
        <v>12</v>
      </c>
      <c r="C11" s="151"/>
      <c r="D11" s="151"/>
      <c r="E11" s="151"/>
      <c r="F11" s="160"/>
      <c r="G11" s="44"/>
      <c r="P11" s="44"/>
      <c r="Q11" s="44"/>
      <c r="R11" s="44"/>
      <c r="S11" s="44"/>
      <c r="T11" s="44"/>
      <c r="U11" s="44"/>
    </row>
    <row r="12" spans="2:21" ht="14.5" x14ac:dyDescent="0.3">
      <c r="B12" s="45" t="s">
        <v>13</v>
      </c>
      <c r="C12" s="47" t="str">
        <f>'GLB reg'!AY53</f>
        <v>02</v>
      </c>
      <c r="D12" s="47" t="str">
        <f>'GLB reg'!AY54</f>
        <v>0a</v>
      </c>
      <c r="E12" s="28" t="str">
        <f>_xlfn.TEXTJOIN(".",TRUE,C12:D12)</f>
        <v>02.0a</v>
      </c>
      <c r="F12" s="46"/>
      <c r="G12" s="44"/>
      <c r="P12" s="44"/>
      <c r="Q12" s="44"/>
      <c r="R12" s="44"/>
      <c r="S12" s="44"/>
      <c r="T12" s="44"/>
      <c r="U12" s="44"/>
    </row>
    <row r="13" spans="2:21" ht="14.5" x14ac:dyDescent="0.3">
      <c r="B13" s="45" t="s">
        <v>14</v>
      </c>
      <c r="C13" s="47" t="str">
        <f>0&amp;'SCM reg'!AO5</f>
        <v>03</v>
      </c>
      <c r="D13" s="47" t="str">
        <f>0&amp;'SCM reg'!AO6</f>
        <v>06</v>
      </c>
      <c r="E13" s="28" t="str">
        <f>_xlfn.TEXTJOIN(".",TRUE,C13:D13)</f>
        <v>03.06</v>
      </c>
      <c r="F13" s="46"/>
      <c r="G13" s="44"/>
      <c r="P13" s="44"/>
      <c r="Q13" s="44"/>
      <c r="R13" s="44"/>
      <c r="S13" s="44"/>
      <c r="T13" s="44"/>
      <c r="U13" s="44"/>
    </row>
    <row r="14" spans="2:21" ht="14.5" x14ac:dyDescent="0.3">
      <c r="B14" s="45" t="s">
        <v>15</v>
      </c>
      <c r="C14" s="47" t="str">
        <f>'CPLD1 reg'!P17</f>
        <v>02</v>
      </c>
      <c r="D14" s="47" t="str">
        <f>'CPLD1 reg'!Q17</f>
        <v>0a</v>
      </c>
      <c r="E14" s="28" t="str">
        <f>_xlfn.TEXTJOIN(".",TRUE,C14:D14)</f>
        <v>02.0a</v>
      </c>
      <c r="F14" s="46"/>
      <c r="G14" s="44"/>
      <c r="P14" s="44"/>
      <c r="Q14" s="44"/>
      <c r="R14" s="44"/>
      <c r="S14" s="44"/>
      <c r="T14" s="44"/>
      <c r="U14" s="44"/>
    </row>
    <row r="15" spans="2:21" ht="14.5" x14ac:dyDescent="0.3">
      <c r="B15" s="48" t="s">
        <v>16</v>
      </c>
      <c r="C15" s="49" t="str">
        <f>'CPLD2 reg'!AQ48</f>
        <v>02</v>
      </c>
      <c r="D15" s="49" t="str">
        <f>'CPLD2 reg'!AQ49</f>
        <v>08</v>
      </c>
      <c r="E15" s="29" t="str">
        <f>_xlfn.TEXTJOIN(".",TRUE,C15:D15)</f>
        <v>02.08</v>
      </c>
      <c r="F15" s="50"/>
      <c r="G15" s="44"/>
      <c r="P15" s="44"/>
      <c r="Q15" s="44"/>
      <c r="R15" s="44"/>
      <c r="S15" s="44"/>
      <c r="T15" s="44"/>
      <c r="U15" s="44"/>
    </row>
    <row r="16" spans="2:21" ht="14.5" x14ac:dyDescent="0.3">
      <c r="B16" s="44"/>
      <c r="C16" s="51"/>
      <c r="D16" s="51"/>
      <c r="E16" s="38"/>
      <c r="F16" s="40"/>
      <c r="G16" s="44"/>
      <c r="P16" s="44"/>
      <c r="Q16" s="44"/>
      <c r="R16" s="44"/>
      <c r="S16" s="44"/>
      <c r="T16" s="44"/>
      <c r="U16" s="44"/>
    </row>
    <row r="17" spans="2:21" ht="14.5" x14ac:dyDescent="0.3">
      <c r="B17" s="44"/>
      <c r="C17" s="51"/>
      <c r="D17" s="51"/>
      <c r="E17" s="38"/>
      <c r="F17" s="40"/>
      <c r="G17" s="44"/>
      <c r="P17" s="44"/>
      <c r="Q17" s="44"/>
      <c r="R17" s="44"/>
      <c r="S17" s="44"/>
      <c r="T17" s="44"/>
      <c r="U17" s="44"/>
    </row>
    <row r="18" spans="2:21" ht="14.5" x14ac:dyDescent="0.3">
      <c r="B18" s="163" t="s">
        <v>17</v>
      </c>
      <c r="C18" s="164"/>
      <c r="D18" s="164"/>
      <c r="E18" s="164"/>
      <c r="F18" s="165"/>
      <c r="G18" s="40"/>
    </row>
    <row r="19" spans="2:21" ht="14.5" x14ac:dyDescent="0.3">
      <c r="B19" s="150" t="s">
        <v>18</v>
      </c>
      <c r="C19" s="151"/>
      <c r="D19" s="151"/>
      <c r="E19" s="151"/>
      <c r="F19" s="152"/>
      <c r="G19" s="44"/>
      <c r="P19" s="44"/>
      <c r="Q19" s="44"/>
      <c r="R19" s="44"/>
      <c r="S19" s="44"/>
      <c r="T19" s="44"/>
      <c r="U19" s="44"/>
    </row>
    <row r="20" spans="2:21" ht="14.5" x14ac:dyDescent="0.3">
      <c r="B20" s="113" t="s">
        <v>1</v>
      </c>
      <c r="C20" s="42" t="s">
        <v>19</v>
      </c>
      <c r="D20" s="42" t="s">
        <v>2</v>
      </c>
      <c r="E20" s="42" t="s">
        <v>3</v>
      </c>
      <c r="F20" s="114" t="s">
        <v>4</v>
      </c>
      <c r="G20" s="40"/>
      <c r="H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2:21" ht="14.25" customHeight="1" x14ac:dyDescent="0.3">
      <c r="B21" s="115" t="s">
        <v>20</v>
      </c>
      <c r="C21" s="47" t="str">
        <f>'SCM reg'!AN10</f>
        <v>11</v>
      </c>
      <c r="D21" s="47" t="str">
        <f>'SCM reg'!AO10</f>
        <v>11</v>
      </c>
      <c r="E21" s="28" t="str">
        <f>IF(C21=D21, "Y", "N")</f>
        <v>Y</v>
      </c>
      <c r="F21" s="116"/>
      <c r="G21" s="44"/>
      <c r="P21" s="44"/>
      <c r="Q21" s="44"/>
      <c r="R21" s="44"/>
      <c r="S21" s="44"/>
      <c r="T21" s="44"/>
      <c r="U21" s="44"/>
    </row>
    <row r="22" spans="2:21" ht="14.5" x14ac:dyDescent="0.3">
      <c r="B22" s="115" t="s">
        <v>21</v>
      </c>
      <c r="C22" s="47" t="str">
        <f>'SCM reg'!AN11</f>
        <v>11</v>
      </c>
      <c r="D22" s="47" t="str">
        <f>'SCM reg'!AO11</f>
        <v>11</v>
      </c>
      <c r="E22" s="28" t="str">
        <f>IF(C22=D22, "Y", "N")</f>
        <v>Y</v>
      </c>
      <c r="F22" s="116"/>
      <c r="G22" s="44"/>
      <c r="P22" s="44"/>
      <c r="Q22" s="44"/>
      <c r="R22" s="44"/>
      <c r="S22" s="44"/>
      <c r="T22" s="44"/>
      <c r="U22" s="44"/>
    </row>
    <row r="23" spans="2:21" ht="14.5" x14ac:dyDescent="0.3">
      <c r="B23" s="115" t="s">
        <v>22</v>
      </c>
      <c r="C23" s="47" t="str">
        <f>'SCM reg'!AN14</f>
        <v>00</v>
      </c>
      <c r="D23" s="47" t="str">
        <f>'SCM reg'!AO14</f>
        <v>00</v>
      </c>
      <c r="E23" s="28" t="str">
        <f>IF(C23=D23, "Y", "N")</f>
        <v>Y</v>
      </c>
      <c r="F23" s="116"/>
      <c r="G23" s="44"/>
      <c r="P23" s="44"/>
      <c r="Q23" s="44"/>
      <c r="R23" s="44"/>
      <c r="S23" s="44"/>
      <c r="T23" s="44"/>
      <c r="U23" s="44"/>
    </row>
    <row r="24" spans="2:21" ht="14.5" x14ac:dyDescent="0.3">
      <c r="B24" s="115" t="s">
        <v>23</v>
      </c>
      <c r="C24" s="47" t="str">
        <f>'SCM reg'!AN15</f>
        <v>00</v>
      </c>
      <c r="D24" s="47" t="str">
        <f>'SCM reg'!AO15</f>
        <v>00</v>
      </c>
      <c r="E24" s="28" t="str">
        <f>IF(C24=D24, "Y", "N")</f>
        <v>Y</v>
      </c>
      <c r="F24" s="116" t="s">
        <v>24</v>
      </c>
      <c r="G24" s="44"/>
      <c r="H24" s="5" t="s">
        <v>25</v>
      </c>
      <c r="I24" s="112" t="s">
        <v>26</v>
      </c>
      <c r="J24" s="111"/>
      <c r="P24" s="44"/>
      <c r="Q24" s="44"/>
      <c r="R24" s="44"/>
      <c r="S24" s="44"/>
      <c r="T24" s="44"/>
      <c r="U24" s="44"/>
    </row>
    <row r="25" spans="2:21" ht="14.5" x14ac:dyDescent="0.3">
      <c r="B25" s="150" t="s">
        <v>27</v>
      </c>
      <c r="C25" s="151"/>
      <c r="D25" s="151"/>
      <c r="E25" s="151"/>
      <c r="F25" s="152"/>
      <c r="G25" s="44"/>
      <c r="H25" s="70" t="str">
        <f>TEXT(0,"0000")</f>
        <v>0000</v>
      </c>
      <c r="I25" s="68" t="s">
        <v>28</v>
      </c>
      <c r="J25" s="111"/>
      <c r="P25" s="44"/>
      <c r="Q25" s="44"/>
      <c r="R25" s="44"/>
      <c r="S25" s="44"/>
      <c r="T25" s="44"/>
      <c r="U25" s="44"/>
    </row>
    <row r="26" spans="2:21" ht="14.5" x14ac:dyDescent="0.3">
      <c r="B26" s="115" t="s">
        <v>29</v>
      </c>
      <c r="C26" s="47" t="str">
        <f>TRIM('CPLD1 reg'!BY28)</f>
        <v>1</v>
      </c>
      <c r="D26" s="47" t="str">
        <f>TRIM('CPLD1 reg'!BZ28)</f>
        <v>1</v>
      </c>
      <c r="E26" s="28" t="str">
        <f>IF(ROUND(D26,2)=ROUND(C26,2),"Y","N")</f>
        <v>Y</v>
      </c>
      <c r="F26" s="116"/>
      <c r="G26" s="44"/>
      <c r="H26" s="70" t="str">
        <f>TEXT(1,"0000")</f>
        <v>0001</v>
      </c>
      <c r="I26" s="68" t="s">
        <v>30</v>
      </c>
      <c r="J26" s="68" t="s">
        <v>31</v>
      </c>
      <c r="P26" s="44"/>
      <c r="Q26" s="44"/>
      <c r="R26" s="44"/>
      <c r="S26" s="44"/>
      <c r="T26" s="44"/>
      <c r="U26" s="44"/>
    </row>
    <row r="27" spans="2:21" ht="14.5" x14ac:dyDescent="0.3">
      <c r="B27" s="115" t="s">
        <v>32</v>
      </c>
      <c r="C27" s="47" t="str">
        <f>TRIM('CPLD1 reg'!BY32)</f>
        <v>00000000</v>
      </c>
      <c r="D27" s="47" t="str">
        <f>TRIM('CPLD1 reg'!BZ32)</f>
        <v>00000000</v>
      </c>
      <c r="E27" s="28" t="str">
        <f>IF(ROUND(D27,2)=ROUND(C27,2),"Y","N")</f>
        <v>Y</v>
      </c>
      <c r="F27" s="116"/>
      <c r="G27" s="44"/>
      <c r="H27" s="70" t="str">
        <f>TEXT(10,"0000")</f>
        <v>0010</v>
      </c>
      <c r="I27" s="68" t="s">
        <v>33</v>
      </c>
      <c r="J27" s="68" t="s">
        <v>31</v>
      </c>
      <c r="P27" s="44"/>
      <c r="Q27" s="44"/>
      <c r="R27" s="44"/>
      <c r="S27" s="44"/>
      <c r="T27" s="44"/>
      <c r="U27" s="44"/>
    </row>
    <row r="28" spans="2:21" ht="14.5" x14ac:dyDescent="0.3">
      <c r="B28" s="150" t="s">
        <v>34</v>
      </c>
      <c r="C28" s="151"/>
      <c r="D28" s="151"/>
      <c r="E28" s="151"/>
      <c r="F28" s="152"/>
      <c r="G28" s="44"/>
      <c r="H28" s="70" t="str">
        <f>TEXT(11,"0000")</f>
        <v>0011</v>
      </c>
      <c r="I28" s="68" t="s">
        <v>35</v>
      </c>
      <c r="J28" s="68" t="s">
        <v>36</v>
      </c>
      <c r="P28" s="44"/>
      <c r="Q28" s="44"/>
      <c r="R28" s="44"/>
      <c r="S28" s="44"/>
      <c r="T28" s="44"/>
      <c r="U28" s="44"/>
    </row>
    <row r="29" spans="2:21" ht="14.5" x14ac:dyDescent="0.3">
      <c r="B29" s="115" t="s">
        <v>37</v>
      </c>
      <c r="C29" s="47">
        <f>'CPLD2 reg'!AP36</f>
        <v>1</v>
      </c>
      <c r="D29" s="47" t="str">
        <f>'CPLD2 reg'!AQ36</f>
        <v>1</v>
      </c>
      <c r="E29" s="28" t="str">
        <f>IF(ROUND(D29,2)=ROUND(C29,2),"Y","N")</f>
        <v>Y</v>
      </c>
      <c r="F29" s="116"/>
      <c r="G29" s="44"/>
      <c r="H29" s="70" t="str">
        <f>TEXT(100,"0000")</f>
        <v>0100</v>
      </c>
      <c r="I29" s="68" t="s">
        <v>38</v>
      </c>
      <c r="J29" s="68" t="s">
        <v>39</v>
      </c>
      <c r="P29" s="44"/>
      <c r="Q29" s="44"/>
      <c r="R29" s="44"/>
      <c r="S29" s="44"/>
      <c r="T29" s="44"/>
      <c r="U29" s="44"/>
    </row>
    <row r="30" spans="2:21" ht="14.5" x14ac:dyDescent="0.3">
      <c r="B30" s="115" t="s">
        <v>40</v>
      </c>
      <c r="C30" s="47" t="str">
        <f>'CPLD2 reg'!AP37</f>
        <v>1</v>
      </c>
      <c r="D30" s="47" t="str">
        <f>'CPLD2 reg'!AQ37</f>
        <v>0</v>
      </c>
      <c r="E30" s="28" t="str">
        <f>IF(ROUND(D30,2)=ROUND(C30,2),"Y","N")</f>
        <v>N</v>
      </c>
      <c r="F30" s="116"/>
      <c r="G30" s="44"/>
      <c r="H30" s="70" t="str">
        <f>TEXT(101,"0000")</f>
        <v>0101</v>
      </c>
      <c r="I30" s="68" t="s">
        <v>41</v>
      </c>
      <c r="J30" s="68" t="s">
        <v>42</v>
      </c>
      <c r="P30" s="44"/>
      <c r="Q30" s="44"/>
      <c r="R30" s="44"/>
      <c r="S30" s="44"/>
      <c r="T30" s="44"/>
      <c r="U30" s="44"/>
    </row>
    <row r="31" spans="2:21" ht="14.5" x14ac:dyDescent="0.3">
      <c r="B31" s="115" t="s">
        <v>43</v>
      </c>
      <c r="C31" s="47" t="str">
        <f>'CPLD2 reg'!AP38</f>
        <v>00</v>
      </c>
      <c r="D31" s="47" t="str">
        <f>'CPLD2 reg'!AQ38</f>
        <v>00</v>
      </c>
      <c r="E31" s="28" t="str">
        <f>IF(ROUND(D31,2)=ROUND(C31,2),"Y","N")</f>
        <v>Y</v>
      </c>
      <c r="F31" s="116"/>
      <c r="G31" s="44"/>
      <c r="H31" s="70" t="str">
        <f>TEXT(110,"0000")</f>
        <v>0110</v>
      </c>
      <c r="I31" s="68" t="s">
        <v>44</v>
      </c>
      <c r="J31" s="68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</row>
    <row r="32" spans="2:21" ht="14.5" x14ac:dyDescent="0.3">
      <c r="B32" s="150" t="s">
        <v>45</v>
      </c>
      <c r="C32" s="151"/>
      <c r="D32" s="151"/>
      <c r="E32" s="151"/>
      <c r="F32" s="152"/>
      <c r="G32" s="44"/>
      <c r="H32" s="70" t="str">
        <f>TEXT(111,"0000")</f>
        <v>0111</v>
      </c>
      <c r="I32" s="68" t="s">
        <v>46</v>
      </c>
      <c r="J32" s="68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2:21" ht="13.5" customHeight="1" x14ac:dyDescent="0.3">
      <c r="B33" s="117" t="s">
        <v>47</v>
      </c>
      <c r="C33" s="47" t="str">
        <f>'GLB reg'!AX4</f>
        <v>1</v>
      </c>
      <c r="D33" s="47" t="str">
        <f>'GLB reg'!AY4</f>
        <v>1</v>
      </c>
      <c r="E33" s="28" t="str">
        <f>IF(ROUND(D33,2)=ROUND(C33,2),"Y","N")</f>
        <v>Y</v>
      </c>
      <c r="F33" s="116"/>
      <c r="G33" s="44"/>
      <c r="H33" s="70">
        <v>1000</v>
      </c>
      <c r="I33" s="68" t="s">
        <v>48</v>
      </c>
      <c r="J33" s="111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</row>
    <row r="34" spans="2:21" ht="14.5" x14ac:dyDescent="0.3">
      <c r="B34" s="117" t="s">
        <v>49</v>
      </c>
      <c r="C34" s="47" t="str">
        <f>'GLB reg'!AX5</f>
        <v>00</v>
      </c>
      <c r="D34" s="47" t="str">
        <f>'GLB reg'!AY5</f>
        <v>00</v>
      </c>
      <c r="E34" s="28" t="str">
        <f>IF(ROUND(D34,2)=ROUND(C34,2),"Y","N")</f>
        <v>Y</v>
      </c>
      <c r="F34" s="116"/>
      <c r="G34" s="44"/>
      <c r="H34" s="70">
        <v>1010</v>
      </c>
      <c r="I34" s="68" t="s">
        <v>50</v>
      </c>
      <c r="J34" s="68" t="s">
        <v>51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</row>
    <row r="35" spans="2:21" ht="14.5" x14ac:dyDescent="0.3">
      <c r="B35" s="118" t="s">
        <v>52</v>
      </c>
      <c r="C35" s="47" t="str">
        <f>'GLB reg'!AX6</f>
        <v>don't care</v>
      </c>
      <c r="D35" s="47" t="str">
        <f>'GLB reg'!AY6</f>
        <v>d1</v>
      </c>
      <c r="E35" s="28" t="str">
        <f>IF(HEX2DEC(D35)&gt;0,"Y","N")</f>
        <v>Y</v>
      </c>
      <c r="F35" s="116"/>
      <c r="G35" s="44"/>
      <c r="H35" s="70" t="str">
        <f>TEXT(0,"1011")</f>
        <v>1011</v>
      </c>
      <c r="I35" s="75" t="s">
        <v>53</v>
      </c>
      <c r="J35" s="111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spans="2:21" ht="14.5" x14ac:dyDescent="0.3">
      <c r="B36" s="150" t="s">
        <v>54</v>
      </c>
      <c r="C36" s="151"/>
      <c r="D36" s="151"/>
      <c r="E36" s="151"/>
      <c r="F36" s="152"/>
      <c r="G36" s="44"/>
      <c r="H36" s="70" t="str">
        <f>TEXT(0,"1100")</f>
        <v>1100</v>
      </c>
      <c r="I36" s="75" t="s">
        <v>55</v>
      </c>
      <c r="J36" s="111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spans="2:21" ht="14.5" x14ac:dyDescent="0.3">
      <c r="B37" s="115" t="s">
        <v>56</v>
      </c>
      <c r="C37" s="47" t="str">
        <f>'SCM reg'!AN19</f>
        <v>09</v>
      </c>
      <c r="D37" s="47" t="str">
        <f>'SCM reg'!AO19</f>
        <v>09</v>
      </c>
      <c r="E37" s="28" t="str">
        <f>IF(ROUND(D37,2)=ROUND(C37,2),"Y","N")</f>
        <v>Y</v>
      </c>
      <c r="F37" s="116" t="s">
        <v>24</v>
      </c>
      <c r="G37" s="44"/>
      <c r="H37" s="70">
        <v>1111</v>
      </c>
      <c r="I37" s="68" t="s">
        <v>57</v>
      </c>
      <c r="J37" s="111"/>
      <c r="L37" s="44"/>
      <c r="M37" s="44"/>
      <c r="N37" s="44"/>
      <c r="O37" s="44"/>
      <c r="P37" s="44"/>
      <c r="Q37" s="44"/>
      <c r="R37" s="44"/>
      <c r="S37" s="44"/>
      <c r="T37" s="44"/>
      <c r="U37" s="44"/>
    </row>
    <row r="38" spans="2:21" ht="14.5" x14ac:dyDescent="0.3">
      <c r="B38" s="115" t="s">
        <v>58</v>
      </c>
      <c r="C38" s="47">
        <f>'SCM reg'!AN20</f>
        <v>11111111</v>
      </c>
      <c r="D38" s="47" t="str">
        <f>'SCM reg'!AO20</f>
        <v>11111111</v>
      </c>
      <c r="E38" s="28" t="str">
        <f>IF(ROUND(D38,2)=ROUND(C38,2),"Y","N")</f>
        <v>Y</v>
      </c>
      <c r="F38" s="116" t="s">
        <v>24</v>
      </c>
      <c r="G38" s="44"/>
      <c r="L38" s="44"/>
      <c r="M38" s="44"/>
      <c r="N38" s="44"/>
      <c r="O38" s="44"/>
      <c r="P38" s="44"/>
      <c r="Q38" s="44"/>
      <c r="R38" s="44"/>
      <c r="S38" s="44"/>
      <c r="T38" s="44"/>
      <c r="U38" s="44"/>
    </row>
    <row r="39" spans="2:21" ht="14.5" x14ac:dyDescent="0.3">
      <c r="B39" s="150" t="s">
        <v>59</v>
      </c>
      <c r="C39" s="151"/>
      <c r="D39" s="151"/>
      <c r="E39" s="151"/>
      <c r="F39" s="152"/>
      <c r="G39" s="44"/>
      <c r="L39" s="44"/>
      <c r="M39" s="44"/>
      <c r="N39" s="44"/>
      <c r="O39" s="44"/>
      <c r="P39" s="44"/>
      <c r="Q39" s="44"/>
      <c r="R39" s="44"/>
      <c r="S39" s="44"/>
      <c r="T39" s="44"/>
      <c r="U39" s="44"/>
    </row>
    <row r="40" spans="2:21" ht="14.5" x14ac:dyDescent="0.3">
      <c r="B40" s="119" t="s">
        <v>26</v>
      </c>
      <c r="C40" s="47" t="str">
        <f>TRIM('CPLD1 reg'!BY7)</f>
        <v>1111</v>
      </c>
      <c r="D40" s="47" t="str">
        <f>TRIM('CPLD1 reg'!BZ7)</f>
        <v>1111</v>
      </c>
      <c r="E40" s="110" t="str">
        <f>IF(D40="0000","Default",
IF(D40="0001","SCM AUX (HPM STBY_EN)",
IF(D40="0010","BMC Boot (HPM STBY_RSTn)",
IF(D40="0011","CPU Aux OK (S5 state)",
IF(D40="0100","Enable main power",
IF(D40="0101","CPU MEM PWR",
IF(D40="0110","CPU S0 PWROK",
IF(D40="0111","CPU PWRGD",
IF(D40="1000","CPU RESET",
IF(D40="1001","No description",
IF(D40="1010","ERROR state",
IF(D40="1011","No description",
IF(D40="1100","No description",
IF(D40="1101","No description",
IF(D40="1110","No description",
IF(D40="1111","Platform on (S0 state)",
"Unknown Code"))))))))))))))))</f>
        <v>Platform on (S0 state)</v>
      </c>
      <c r="F40" s="120"/>
      <c r="L40" s="44"/>
      <c r="M40" s="44"/>
      <c r="N40" s="44"/>
      <c r="O40" s="44"/>
      <c r="P40" s="44"/>
      <c r="Q40" s="44"/>
      <c r="R40" s="44"/>
      <c r="S40" s="44"/>
      <c r="T40" s="44"/>
      <c r="U40" s="44"/>
    </row>
    <row r="41" spans="2:21" ht="14.5" x14ac:dyDescent="0.3">
      <c r="B41" s="150" t="s">
        <v>60</v>
      </c>
      <c r="C41" s="151"/>
      <c r="D41" s="151"/>
      <c r="E41" s="151"/>
      <c r="F41" s="152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2:21" ht="14.5" x14ac:dyDescent="0.3">
      <c r="B42" s="115" t="s">
        <v>61</v>
      </c>
      <c r="C42" s="47" t="str">
        <f>TRIM('CPLD1 reg'!BC5)</f>
        <v>00000000</v>
      </c>
      <c r="D42" s="47" t="str">
        <f>TRIM('CPLD1 reg'!BD5)</f>
        <v>00000000</v>
      </c>
      <c r="E42" s="28" t="str">
        <f>IF(ROUND(D42,2)=ROUND(C42,2),"Y","N")</f>
        <v>Y</v>
      </c>
      <c r="F42" s="121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2:21" ht="14.5" x14ac:dyDescent="0.3">
      <c r="B43" s="115" t="s">
        <v>62</v>
      </c>
      <c r="C43" s="47" t="str">
        <f>TRIM('CPLD1 reg'!BC6)</f>
        <v>0</v>
      </c>
      <c r="D43" s="47" t="str">
        <f>TRIM('CPLD1 reg'!BD6)</f>
        <v>0</v>
      </c>
      <c r="E43" s="28" t="str">
        <f>IF(ROUND(D43,2)=ROUND(C43,2),"Y","N")</f>
        <v>Y</v>
      </c>
      <c r="F43" s="121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2:21" ht="14.5" x14ac:dyDescent="0.3">
      <c r="B44" s="115" t="s">
        <v>63</v>
      </c>
      <c r="C44" s="47" t="str">
        <f>TRIM('CPLD1 reg'!BC7)</f>
        <v>0</v>
      </c>
      <c r="D44" s="47" t="str">
        <f>TRIM('CPLD1 reg'!BD7)</f>
        <v>0</v>
      </c>
      <c r="E44" s="28" t="str">
        <f>IF(ROUND(D44,2)=ROUND(C44,2),"Y","N")</f>
        <v>Y</v>
      </c>
      <c r="F44" s="121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2:21" ht="14.5" x14ac:dyDescent="0.3">
      <c r="B45" s="115" t="s">
        <v>64</v>
      </c>
      <c r="C45" s="47" t="str">
        <f>TRIM('CPLD1 reg'!BC8)</f>
        <v>0</v>
      </c>
      <c r="D45" s="47" t="str">
        <f>TRIM('CPLD1 reg'!BD8)</f>
        <v>0</v>
      </c>
      <c r="E45" s="28" t="str">
        <f>IF(D45="0","BMC Read/Write","BIOS Read/Write")</f>
        <v>BMC Read/Write</v>
      </c>
      <c r="F45" s="121"/>
      <c r="G45" s="44"/>
      <c r="H45" s="44"/>
      <c r="I45" s="44"/>
      <c r="J45" s="44"/>
      <c r="K45" s="44"/>
      <c r="L45" s="44"/>
      <c r="M45" s="44"/>
      <c r="N45" s="44"/>
      <c r="O45" s="44"/>
      <c r="Q45" s="44"/>
      <c r="R45" s="44"/>
      <c r="S45" s="44"/>
      <c r="T45" s="44"/>
      <c r="U45" s="44"/>
    </row>
    <row r="46" spans="2:21" ht="14.5" x14ac:dyDescent="0.3">
      <c r="B46" s="115" t="s">
        <v>65</v>
      </c>
      <c r="C46" s="47" t="e">
        <f>TRIM('CPLD1 reg'!#REF!)</f>
        <v>#REF!</v>
      </c>
      <c r="D46" s="47" t="e">
        <f>TRIM('CPLD1 reg'!#REF!)</f>
        <v>#REF!</v>
      </c>
      <c r="E46" s="28" t="e">
        <f>IF(D46="34","2S",IF(D46="FE","8S",IF(D46="10","!!!D2ScheckFRU!!!",IF(D46="F6","4S","ERR"))))</f>
        <v>#REF!</v>
      </c>
      <c r="F46" s="121"/>
      <c r="G46" s="44"/>
      <c r="H46" s="44"/>
      <c r="I46" s="44"/>
      <c r="J46" s="44"/>
      <c r="K46" s="44"/>
      <c r="L46" s="44"/>
      <c r="M46" s="44"/>
      <c r="N46" s="44"/>
      <c r="O46" s="44"/>
      <c r="Q46" s="44"/>
      <c r="R46" s="44"/>
      <c r="S46" s="44"/>
      <c r="T46" s="44"/>
      <c r="U46" s="44"/>
    </row>
    <row r="47" spans="2:21" ht="14.5" x14ac:dyDescent="0.3">
      <c r="B47" s="115" t="s">
        <v>66</v>
      </c>
      <c r="C47" s="47" t="e">
        <f>TRIM('CPLD1 reg'!#REF!)</f>
        <v>#REF!</v>
      </c>
      <c r="D47" s="47" t="e">
        <f>TRIM('CPLD1 reg'!#REF!)</f>
        <v>#REF!</v>
      </c>
      <c r="E47" s="28" t="e">
        <f>IF(D47="0","SLED0",IF(D47="1","SLED1",IF(D47="2","SLED2",IF(D47="3","SLED3","ERR"))))</f>
        <v>#REF!</v>
      </c>
      <c r="F47" s="121"/>
      <c r="G47" s="44"/>
      <c r="H47" s="44"/>
      <c r="I47" s="44"/>
      <c r="J47" s="44"/>
      <c r="K47" s="44"/>
      <c r="Q47" s="44"/>
      <c r="R47" s="44"/>
      <c r="S47" s="44"/>
      <c r="T47" s="44"/>
      <c r="U47" s="44"/>
    </row>
    <row r="48" spans="2:21" ht="14.5" x14ac:dyDescent="0.3">
      <c r="B48" s="122" t="s">
        <v>67</v>
      </c>
      <c r="C48" s="123" t="e">
        <f>TRIM('CPLD1 reg'!#REF!)</f>
        <v>#REF!</v>
      </c>
      <c r="D48" s="123" t="e">
        <f>TRIM('CPLD1 reg'!#REF!)</f>
        <v>#REF!</v>
      </c>
      <c r="E48" s="124" t="e">
        <f>IF(D48="5","2S",IF(D48="7","8S",IF(D48="10","!!!D2ScheckFRU!!!",IF(D48="D","4S","ERR"))))</f>
        <v>#REF!</v>
      </c>
      <c r="F48" s="125"/>
      <c r="G48" s="44"/>
      <c r="H48" s="44"/>
      <c r="I48" s="44"/>
      <c r="J48" s="44"/>
      <c r="K48" s="44"/>
      <c r="Q48" s="44"/>
      <c r="R48" s="44"/>
      <c r="S48" s="44"/>
      <c r="T48" s="44"/>
      <c r="U48" s="44"/>
    </row>
    <row r="49" spans="2:21" ht="14.5" x14ac:dyDescent="0.3"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2:21" ht="14.5" x14ac:dyDescent="0.3">
      <c r="B50" s="44"/>
      <c r="C50" s="44"/>
      <c r="D50" s="44"/>
      <c r="E50" s="44"/>
      <c r="F50" s="44"/>
      <c r="G50" s="44"/>
      <c r="H50" s="44"/>
      <c r="I50" s="44"/>
      <c r="J50" s="44"/>
      <c r="K50" s="44"/>
      <c r="T50" s="44"/>
      <c r="U50" s="44"/>
    </row>
    <row r="51" spans="2:21" ht="14.5" x14ac:dyDescent="0.3">
      <c r="B51" s="44"/>
      <c r="C51" s="44"/>
      <c r="D51" s="44"/>
      <c r="E51" s="44"/>
      <c r="F51" s="44"/>
      <c r="G51" s="44"/>
      <c r="H51" s="44"/>
      <c r="I51" s="44"/>
      <c r="J51" s="44"/>
      <c r="K51" s="44"/>
      <c r="T51" s="44"/>
      <c r="U51" s="44"/>
    </row>
    <row r="52" spans="2:21" ht="14.5" x14ac:dyDescent="0.3">
      <c r="B52" s="44"/>
      <c r="C52" s="44"/>
      <c r="D52" s="44"/>
      <c r="E52" s="44"/>
      <c r="F52" s="44"/>
      <c r="G52" s="44"/>
      <c r="H52" s="44"/>
      <c r="I52" s="44"/>
      <c r="J52" s="44"/>
      <c r="T52" s="44"/>
      <c r="U52" s="44"/>
    </row>
    <row r="53" spans="2:21" ht="14.5" x14ac:dyDescent="0.3">
      <c r="B53" s="44"/>
      <c r="C53" s="44"/>
      <c r="D53" s="44"/>
      <c r="E53" s="44"/>
      <c r="F53" s="44"/>
      <c r="G53" s="44"/>
      <c r="H53" s="44"/>
      <c r="I53" s="44"/>
      <c r="J53" s="44"/>
      <c r="T53" s="44"/>
      <c r="U53" s="44"/>
    </row>
    <row r="54" spans="2:21" ht="14.5" x14ac:dyDescent="0.3">
      <c r="B54" s="44"/>
      <c r="C54" s="44"/>
      <c r="D54" s="44"/>
      <c r="E54" s="44"/>
      <c r="F54" s="44"/>
      <c r="G54" s="44"/>
      <c r="H54" s="44"/>
      <c r="I54" s="44"/>
      <c r="J54" s="44"/>
      <c r="T54" s="44"/>
      <c r="U54" s="44"/>
    </row>
    <row r="55" spans="2:21" ht="14.5" x14ac:dyDescent="0.3">
      <c r="B55" s="44"/>
      <c r="C55" s="44"/>
      <c r="D55" s="44"/>
      <c r="E55" s="44"/>
      <c r="F55" s="44"/>
      <c r="G55" s="44"/>
      <c r="H55" s="44"/>
      <c r="I55" s="44"/>
      <c r="J55" s="44"/>
      <c r="T55" s="44"/>
      <c r="U55" s="44"/>
    </row>
    <row r="56" spans="2:21" ht="14.5" x14ac:dyDescent="0.3"/>
  </sheetData>
  <mergeCells count="18">
    <mergeCell ref="C9:D9"/>
    <mergeCell ref="C10:D10"/>
    <mergeCell ref="B41:F41"/>
    <mergeCell ref="B25:F25"/>
    <mergeCell ref="B39:F39"/>
    <mergeCell ref="B2:F2"/>
    <mergeCell ref="B4:F4"/>
    <mergeCell ref="B11:F11"/>
    <mergeCell ref="B19:F19"/>
    <mergeCell ref="B36:F36"/>
    <mergeCell ref="B28:F28"/>
    <mergeCell ref="C3:D3"/>
    <mergeCell ref="B18:F18"/>
    <mergeCell ref="C5:D5"/>
    <mergeCell ref="C6:D6"/>
    <mergeCell ref="C7:D7"/>
    <mergeCell ref="C8:D8"/>
    <mergeCell ref="B32:F3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0F26-58E6-4674-BB4D-89066114E3DB}">
  <dimension ref="A1:BD79"/>
  <sheetViews>
    <sheetView topLeftCell="AA30" zoomScale="70" zoomScaleNormal="70" workbookViewId="0">
      <selection activeCell="AB34" sqref="AB34"/>
    </sheetView>
  </sheetViews>
  <sheetFormatPr defaultColWidth="9.09765625" defaultRowHeight="14.5" x14ac:dyDescent="0.3"/>
  <cols>
    <col min="1" max="1" width="9.09765625" style="39"/>
    <col min="2" max="2" width="5.09765625" style="39" customWidth="1"/>
    <col min="3" max="4" width="4.3984375" style="39" customWidth="1"/>
    <col min="5" max="18" width="3.69921875" style="39" customWidth="1"/>
    <col min="19" max="32" width="9.09765625" style="39" bestFit="1" customWidth="1"/>
    <col min="33" max="33" width="9.59765625" style="39" customWidth="1"/>
    <col min="34" max="34" width="9.09765625" style="39" customWidth="1"/>
    <col min="35" max="37" width="8.69921875" style="39" customWidth="1"/>
    <col min="38" max="38" width="16.09765625" style="39" customWidth="1"/>
    <col min="39" max="39" width="49.296875" style="39" customWidth="1"/>
    <col min="40" max="40" width="16.8984375" style="39" customWidth="1"/>
    <col min="41" max="41" width="12.8984375" style="39" customWidth="1"/>
    <col min="42" max="42" width="22" style="39" customWidth="1"/>
    <col min="43" max="43" width="12.09765625" style="39" customWidth="1"/>
    <col min="44" max="44" width="4.59765625" style="39" customWidth="1"/>
    <col min="45" max="45" width="11.8984375" style="39" customWidth="1"/>
    <col min="46" max="46" width="38.3984375" style="39" customWidth="1"/>
    <col min="47" max="47" width="8.69921875" style="39" customWidth="1"/>
    <col min="48" max="48" width="16.09765625" style="39" customWidth="1"/>
    <col min="49" max="49" width="49.296875" style="39" customWidth="1"/>
    <col min="50" max="51" width="16.8984375" style="39" customWidth="1"/>
    <col min="52" max="52" width="15.09765625" style="39" customWidth="1"/>
    <col min="53" max="53" width="11.09765625" style="39" customWidth="1"/>
    <col min="54" max="54" width="2.69921875" style="39" customWidth="1"/>
    <col min="55" max="55" width="15.8984375" style="39" customWidth="1"/>
    <col min="56" max="56" width="38.8984375" style="39" customWidth="1"/>
    <col min="57" max="57" width="6.8984375" style="39" customWidth="1"/>
    <col min="58" max="74" width="2.69921875" style="39" customWidth="1"/>
    <col min="75" max="16384" width="9.09765625" style="39"/>
  </cols>
  <sheetData>
    <row r="1" spans="1:56" ht="17" x14ac:dyDescent="0.4">
      <c r="A1" s="52" t="s">
        <v>68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5" t="s">
        <v>69</v>
      </c>
      <c r="M1" s="25" t="s">
        <v>70</v>
      </c>
      <c r="N1" s="25" t="s">
        <v>71</v>
      </c>
      <c r="O1" s="25" t="s">
        <v>72</v>
      </c>
      <c r="P1" s="25" t="s">
        <v>73</v>
      </c>
      <c r="Q1" s="25" t="s">
        <v>74</v>
      </c>
      <c r="R1" s="53"/>
      <c r="S1" s="24">
        <v>0</v>
      </c>
      <c r="T1" s="24">
        <v>1</v>
      </c>
      <c r="U1" s="24">
        <v>2</v>
      </c>
      <c r="V1" s="24">
        <v>3</v>
      </c>
      <c r="W1" s="24">
        <v>4</v>
      </c>
      <c r="X1" s="24">
        <v>5</v>
      </c>
      <c r="Y1" s="24">
        <v>6</v>
      </c>
      <c r="Z1" s="24">
        <v>7</v>
      </c>
      <c r="AA1" s="24">
        <v>8</v>
      </c>
      <c r="AB1" s="24">
        <v>9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</row>
    <row r="2" spans="1:56" x14ac:dyDescent="0.3">
      <c r="A2" s="26">
        <v>0</v>
      </c>
      <c r="B2" s="47" t="str">
        <f>MID($A22,5,2)</f>
        <v>10</v>
      </c>
      <c r="C2" s="47" t="str">
        <f>MID($A22,8,2)</f>
        <v>00</v>
      </c>
      <c r="D2" s="47" t="str">
        <f>MID($A22,11,2)</f>
        <v>00</v>
      </c>
      <c r="E2" s="47" t="str">
        <f>MID($A22,14,2)</f>
        <v>00</v>
      </c>
      <c r="F2" s="47" t="str">
        <f>MID($A22,17,2)</f>
        <v>ff</v>
      </c>
      <c r="G2" s="47" t="str">
        <f>MID($A22,20,2)</f>
        <v>33</v>
      </c>
      <c r="H2" s="47" t="str">
        <f>MID($A22,23,2)</f>
        <v>0f</v>
      </c>
      <c r="I2" s="47" t="str">
        <f>MID($A22,26,2)</f>
        <v>ff</v>
      </c>
      <c r="J2" s="47" t="str">
        <f>MID($A22,29,2)</f>
        <v>ff</v>
      </c>
      <c r="K2" s="47" t="str">
        <f>MID($A22,32,2)</f>
        <v>ff</v>
      </c>
      <c r="L2" s="47" t="str">
        <f>MID($A22,35,2)</f>
        <v>ff</v>
      </c>
      <c r="M2" s="47" t="str">
        <f>MID($A22,38,2)</f>
        <v>00</v>
      </c>
      <c r="N2" s="47" t="str">
        <f>MID($A22,41,2)</f>
        <v>00</v>
      </c>
      <c r="O2" s="47" t="str">
        <f>MID($A22,44,2)</f>
        <v>00</v>
      </c>
      <c r="P2" s="47" t="str">
        <f>MID($A22,47,2)</f>
        <v>00</v>
      </c>
      <c r="Q2" s="47" t="str">
        <f>MID($A22,50,2)</f>
        <v>00</v>
      </c>
      <c r="R2" s="53"/>
      <c r="S2" s="47" t="str">
        <f>TEXT(HEX2BIN(B2),"00000000")</f>
        <v>00010000</v>
      </c>
      <c r="T2" s="47" t="str">
        <f t="shared" ref="T2:AH17" si="0">TEXT(HEX2BIN(C2),"00000000")</f>
        <v>00000000</v>
      </c>
      <c r="U2" s="47" t="str">
        <f t="shared" si="0"/>
        <v>00000000</v>
      </c>
      <c r="V2" s="47" t="str">
        <f t="shared" si="0"/>
        <v>00000000</v>
      </c>
      <c r="W2" s="47" t="str">
        <f t="shared" si="0"/>
        <v>11111111</v>
      </c>
      <c r="X2" s="47" t="str">
        <f t="shared" si="0"/>
        <v>00110011</v>
      </c>
      <c r="Y2" s="47" t="str">
        <f t="shared" si="0"/>
        <v>00001111</v>
      </c>
      <c r="Z2" s="47" t="str">
        <f t="shared" si="0"/>
        <v>11111111</v>
      </c>
      <c r="AA2" s="47" t="str">
        <f t="shared" si="0"/>
        <v>11111111</v>
      </c>
      <c r="AB2" s="47" t="str">
        <f t="shared" si="0"/>
        <v>11111111</v>
      </c>
      <c r="AC2" s="47" t="str">
        <f t="shared" si="0"/>
        <v>11111111</v>
      </c>
      <c r="AD2" s="47" t="str">
        <f t="shared" si="0"/>
        <v>00000000</v>
      </c>
      <c r="AE2" s="47" t="str">
        <f t="shared" si="0"/>
        <v>00000000</v>
      </c>
      <c r="AF2" s="47" t="str">
        <f t="shared" si="0"/>
        <v>00000000</v>
      </c>
      <c r="AG2" s="47" t="str">
        <f t="shared" si="0"/>
        <v>00000000</v>
      </c>
      <c r="AH2" s="47" t="str">
        <f t="shared" si="0"/>
        <v>00000000</v>
      </c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</row>
    <row r="3" spans="1:56" x14ac:dyDescent="0.3">
      <c r="A3" s="26">
        <v>10</v>
      </c>
      <c r="B3" s="47" t="str">
        <f t="shared" ref="B3:B17" si="1">MID($A23,5,2)</f>
        <v>00</v>
      </c>
      <c r="C3" s="47" t="str">
        <f t="shared" ref="C3:C17" si="2">MID($A23,8,2)</f>
        <v>00</v>
      </c>
      <c r="D3" s="47" t="str">
        <f t="shared" ref="D3:D17" si="3">MID($A23,11,2)</f>
        <v>00</v>
      </c>
      <c r="E3" s="47" t="str">
        <f t="shared" ref="E3:E17" si="4">MID($A23,14,2)</f>
        <v>00</v>
      </c>
      <c r="F3" s="47" t="str">
        <f t="shared" ref="F3:F17" si="5">MID($A23,17,2)</f>
        <v>00</v>
      </c>
      <c r="G3" s="47" t="str">
        <f t="shared" ref="G3:G17" si="6">MID($A23,20,2)</f>
        <v>00</v>
      </c>
      <c r="H3" s="47" t="str">
        <f t="shared" ref="H3:H17" si="7">MID($A23,23,2)</f>
        <v>00</v>
      </c>
      <c r="I3" s="47" t="str">
        <f t="shared" ref="I3:I17" si="8">MID($A23,26,2)</f>
        <v>00</v>
      </c>
      <c r="J3" s="47" t="str">
        <f t="shared" ref="J3:J17" si="9">MID($A23,29,2)</f>
        <v>00</v>
      </c>
      <c r="K3" s="47" t="str">
        <f t="shared" ref="K3:K17" si="10">MID($A23,32,2)</f>
        <v>64</v>
      </c>
      <c r="L3" s="47" t="str">
        <f t="shared" ref="L3:L17" si="11">MID($A23,35,2)</f>
        <v>06</v>
      </c>
      <c r="M3" s="47" t="str">
        <f t="shared" ref="M3:M17" si="12">MID($A23,38,2)</f>
        <v>1e</v>
      </c>
      <c r="N3" s="47" t="str">
        <f t="shared" ref="N3:N17" si="13">MID($A23,41,2)</f>
        <v>00</v>
      </c>
      <c r="O3" s="47" t="str">
        <f t="shared" ref="O3:O17" si="14">MID($A23,44,2)</f>
        <v>0f</v>
      </c>
      <c r="P3" s="47" t="str">
        <f t="shared" ref="P3:P17" si="15">MID($A23,47,2)</f>
        <v>02</v>
      </c>
      <c r="Q3" s="47" t="str">
        <f t="shared" ref="Q3:Q17" si="16">MID($A23,50,2)</f>
        <v>00</v>
      </c>
      <c r="R3" s="54"/>
      <c r="S3" s="47" t="str">
        <f t="shared" ref="S3:S17" si="17">TEXT(HEX2BIN(B3),"00000000")</f>
        <v>00000000</v>
      </c>
      <c r="T3" s="47" t="str">
        <f t="shared" si="0"/>
        <v>00000000</v>
      </c>
      <c r="U3" s="47" t="str">
        <f t="shared" si="0"/>
        <v>00000000</v>
      </c>
      <c r="V3" s="47" t="str">
        <f t="shared" si="0"/>
        <v>00000000</v>
      </c>
      <c r="W3" s="47" t="str">
        <f t="shared" si="0"/>
        <v>00000000</v>
      </c>
      <c r="X3" s="47" t="str">
        <f t="shared" si="0"/>
        <v>00000000</v>
      </c>
      <c r="Y3" s="47" t="str">
        <f t="shared" si="0"/>
        <v>00000000</v>
      </c>
      <c r="Z3" s="47" t="str">
        <f t="shared" si="0"/>
        <v>00000000</v>
      </c>
      <c r="AA3" s="47" t="str">
        <f t="shared" si="0"/>
        <v>00000000</v>
      </c>
      <c r="AB3" s="47" t="str">
        <f t="shared" si="0"/>
        <v>01100100</v>
      </c>
      <c r="AC3" s="47" t="str">
        <f t="shared" si="0"/>
        <v>00000110</v>
      </c>
      <c r="AD3" s="47" t="str">
        <f t="shared" si="0"/>
        <v>00011110</v>
      </c>
      <c r="AE3" s="47" t="str">
        <f t="shared" si="0"/>
        <v>00000000</v>
      </c>
      <c r="AF3" s="47" t="str">
        <f t="shared" si="0"/>
        <v>00001111</v>
      </c>
      <c r="AG3" s="47" t="str">
        <f t="shared" si="0"/>
        <v>00000010</v>
      </c>
      <c r="AH3" s="47" t="str">
        <f t="shared" si="0"/>
        <v>00000000</v>
      </c>
      <c r="AI3" s="51"/>
      <c r="AJ3" s="51"/>
      <c r="AK3" s="51"/>
      <c r="AL3" s="55"/>
      <c r="AM3" s="92" t="s">
        <v>75</v>
      </c>
      <c r="AN3" s="55"/>
      <c r="AO3" s="90"/>
      <c r="AP3" s="68"/>
      <c r="AQ3" s="44"/>
      <c r="AR3" s="44"/>
      <c r="AS3" s="44"/>
      <c r="AT3" s="44"/>
      <c r="AU3" s="44"/>
      <c r="AV3" s="75"/>
      <c r="AW3" s="3" t="s">
        <v>76</v>
      </c>
      <c r="AX3" s="4"/>
      <c r="AY3" s="4"/>
      <c r="AZ3" s="68"/>
      <c r="BA3" s="44"/>
      <c r="BB3" s="44"/>
      <c r="BC3" s="44"/>
      <c r="BD3" s="44"/>
    </row>
    <row r="4" spans="1:56" x14ac:dyDescent="0.3">
      <c r="A4" s="26">
        <v>20</v>
      </c>
      <c r="B4" s="47" t="str">
        <f t="shared" si="1"/>
        <v>00</v>
      </c>
      <c r="C4" s="47" t="str">
        <f t="shared" si="2"/>
        <v>00</v>
      </c>
      <c r="D4" s="47" t="str">
        <f t="shared" si="3"/>
        <v>00</v>
      </c>
      <c r="E4" s="47" t="str">
        <f t="shared" si="4"/>
        <v>00</v>
      </c>
      <c r="F4" s="47" t="str">
        <f t="shared" si="5"/>
        <v>00</v>
      </c>
      <c r="G4" s="47" t="str">
        <f t="shared" si="6"/>
        <v>00</v>
      </c>
      <c r="H4" s="47" t="str">
        <f t="shared" si="7"/>
        <v>00</v>
      </c>
      <c r="I4" s="47" t="str">
        <f t="shared" si="8"/>
        <v>00</v>
      </c>
      <c r="J4" s="47" t="str">
        <f t="shared" si="9"/>
        <v>00</v>
      </c>
      <c r="K4" s="47" t="str">
        <f t="shared" si="10"/>
        <v>00</v>
      </c>
      <c r="L4" s="47" t="str">
        <f t="shared" si="11"/>
        <v>00</v>
      </c>
      <c r="M4" s="47" t="str">
        <f t="shared" si="12"/>
        <v>00</v>
      </c>
      <c r="N4" s="47" t="str">
        <f t="shared" si="13"/>
        <v>00</v>
      </c>
      <c r="O4" s="47" t="str">
        <f t="shared" si="14"/>
        <v>00</v>
      </c>
      <c r="P4" s="47" t="str">
        <f t="shared" si="15"/>
        <v>00</v>
      </c>
      <c r="Q4" s="47" t="str">
        <f t="shared" si="16"/>
        <v>00</v>
      </c>
      <c r="R4" s="53"/>
      <c r="S4" s="47" t="str">
        <f t="shared" si="17"/>
        <v>00000000</v>
      </c>
      <c r="T4" s="47" t="str">
        <f t="shared" si="0"/>
        <v>00000000</v>
      </c>
      <c r="U4" s="47" t="str">
        <f t="shared" si="0"/>
        <v>00000000</v>
      </c>
      <c r="V4" s="47" t="str">
        <f t="shared" si="0"/>
        <v>00000000</v>
      </c>
      <c r="W4" s="47" t="str">
        <f t="shared" si="0"/>
        <v>00000000</v>
      </c>
      <c r="X4" s="47" t="str">
        <f t="shared" si="0"/>
        <v>00000000</v>
      </c>
      <c r="Y4" s="47" t="str">
        <f t="shared" si="0"/>
        <v>00000000</v>
      </c>
      <c r="Z4" s="47" t="str">
        <f t="shared" si="0"/>
        <v>00000000</v>
      </c>
      <c r="AA4" s="47" t="str">
        <f t="shared" si="0"/>
        <v>00000000</v>
      </c>
      <c r="AB4" s="47" t="str">
        <f t="shared" si="0"/>
        <v>00000000</v>
      </c>
      <c r="AC4" s="47" t="str">
        <f t="shared" si="0"/>
        <v>00000000</v>
      </c>
      <c r="AD4" s="47" t="str">
        <f t="shared" si="0"/>
        <v>00000000</v>
      </c>
      <c r="AE4" s="47" t="str">
        <f t="shared" si="0"/>
        <v>00000000</v>
      </c>
      <c r="AF4" s="47" t="str">
        <f t="shared" si="0"/>
        <v>00000000</v>
      </c>
      <c r="AG4" s="47" t="str">
        <f t="shared" si="0"/>
        <v>00000000</v>
      </c>
      <c r="AH4" s="47" t="str">
        <f t="shared" si="0"/>
        <v>00000000</v>
      </c>
      <c r="AI4" s="44"/>
      <c r="AJ4" s="44"/>
      <c r="AK4" s="44"/>
      <c r="AL4" s="55"/>
      <c r="AM4" s="93" t="s">
        <v>77</v>
      </c>
      <c r="AN4" s="1" t="s">
        <v>19</v>
      </c>
      <c r="AO4" s="98" t="s">
        <v>2</v>
      </c>
      <c r="AP4" s="18" t="s">
        <v>78</v>
      </c>
      <c r="AQ4" s="126"/>
      <c r="AR4" s="44"/>
      <c r="AS4" s="103" t="s">
        <v>79</v>
      </c>
      <c r="AT4" s="69" t="s">
        <v>80</v>
      </c>
      <c r="AU4" s="44"/>
      <c r="AV4" s="75" t="s">
        <v>81</v>
      </c>
      <c r="AW4" s="68" t="s">
        <v>47</v>
      </c>
      <c r="AX4" s="70" t="s">
        <v>82</v>
      </c>
      <c r="AY4" s="70" t="str">
        <f>MID($Y12,8,1)</f>
        <v>1</v>
      </c>
      <c r="AZ4" s="106" t="str">
        <f>IF(BIN2DEC(AY4)&gt;0,"link stable","!!!!link ERROR!!!")</f>
        <v>link stable</v>
      </c>
      <c r="BA4" s="38"/>
      <c r="BB4" s="44"/>
      <c r="BC4" s="44"/>
      <c r="BD4" s="44"/>
    </row>
    <row r="5" spans="1:56" x14ac:dyDescent="0.3">
      <c r="A5" s="26">
        <v>30</v>
      </c>
      <c r="B5" s="47" t="str">
        <f t="shared" si="1"/>
        <v>00</v>
      </c>
      <c r="C5" s="47" t="str">
        <f t="shared" si="2"/>
        <v>00</v>
      </c>
      <c r="D5" s="47" t="str">
        <f t="shared" si="3"/>
        <v>00</v>
      </c>
      <c r="E5" s="47" t="str">
        <f t="shared" si="4"/>
        <v>00</v>
      </c>
      <c r="F5" s="47" t="str">
        <f t="shared" si="5"/>
        <v>2d</v>
      </c>
      <c r="G5" s="47" t="str">
        <f t="shared" si="6"/>
        <v>90</v>
      </c>
      <c r="H5" s="47" t="str">
        <f t="shared" si="7"/>
        <v>00</v>
      </c>
      <c r="I5" s="47" t="str">
        <f t="shared" si="8"/>
        <v>00</v>
      </c>
      <c r="J5" s="47" t="str">
        <f t="shared" si="9"/>
        <v>00</v>
      </c>
      <c r="K5" s="47" t="str">
        <f t="shared" si="10"/>
        <v>00</v>
      </c>
      <c r="L5" s="47" t="str">
        <f t="shared" si="11"/>
        <v>f0</v>
      </c>
      <c r="M5" s="47" t="str">
        <f t="shared" si="12"/>
        <v>00</v>
      </c>
      <c r="N5" s="47" t="str">
        <f t="shared" si="13"/>
        <v>00</v>
      </c>
      <c r="O5" s="47" t="str">
        <f t="shared" si="14"/>
        <v>00</v>
      </c>
      <c r="P5" s="47" t="str">
        <f t="shared" si="15"/>
        <v>00</v>
      </c>
      <c r="Q5" s="47" t="str">
        <f t="shared" si="16"/>
        <v>00</v>
      </c>
      <c r="R5" s="53"/>
      <c r="S5" s="47" t="str">
        <f t="shared" si="17"/>
        <v>00000000</v>
      </c>
      <c r="T5" s="47" t="str">
        <f t="shared" si="0"/>
        <v>00000000</v>
      </c>
      <c r="U5" s="47" t="str">
        <f t="shared" si="0"/>
        <v>00000000</v>
      </c>
      <c r="V5" s="47" t="str">
        <f t="shared" si="0"/>
        <v>00000000</v>
      </c>
      <c r="W5" s="47" t="str">
        <f t="shared" si="0"/>
        <v>00101101</v>
      </c>
      <c r="X5" s="47" t="str">
        <f t="shared" si="0"/>
        <v>10010000</v>
      </c>
      <c r="Y5" s="47" t="str">
        <f t="shared" si="0"/>
        <v>00000000</v>
      </c>
      <c r="Z5" s="47" t="str">
        <f t="shared" si="0"/>
        <v>00000000</v>
      </c>
      <c r="AA5" s="47" t="str">
        <f t="shared" si="0"/>
        <v>00000000</v>
      </c>
      <c r="AB5" s="47" t="str">
        <f t="shared" si="0"/>
        <v>00000000</v>
      </c>
      <c r="AC5" s="47" t="str">
        <f t="shared" si="0"/>
        <v>11110000</v>
      </c>
      <c r="AD5" s="47" t="str">
        <f t="shared" si="0"/>
        <v>00000000</v>
      </c>
      <c r="AE5" s="47" t="str">
        <f t="shared" si="0"/>
        <v>00000000</v>
      </c>
      <c r="AF5" s="47" t="str">
        <f t="shared" si="0"/>
        <v>00000000</v>
      </c>
      <c r="AG5" s="47" t="str">
        <f t="shared" si="0"/>
        <v>00000000</v>
      </c>
      <c r="AH5" s="47" t="str">
        <f t="shared" si="0"/>
        <v>00000000</v>
      </c>
      <c r="AI5" s="44"/>
      <c r="AJ5" s="44"/>
      <c r="AK5" s="44"/>
      <c r="AL5" s="59" t="s">
        <v>83</v>
      </c>
      <c r="AM5" s="55" t="s">
        <v>84</v>
      </c>
      <c r="AN5" s="47" t="s">
        <v>85</v>
      </c>
      <c r="AO5" s="88" t="str">
        <f>MID($S2,1,4)</f>
        <v>0001</v>
      </c>
      <c r="AP5" s="35" t="str">
        <f>IF(AO5="0001", "SLED0 USE",
 IF(AO5="0010", "SLED1 USE",
 IF(AO5="0100", "SLED2 USE",
 IF(AO5="1000", "SLED3 USE",
 "undefine"))))</f>
        <v>SLED0 USE</v>
      </c>
      <c r="AQ5" s="38"/>
      <c r="AR5" s="44"/>
      <c r="AS5" s="68" t="s">
        <v>86</v>
      </c>
      <c r="AT5" s="68" t="s">
        <v>87</v>
      </c>
      <c r="AU5" s="44"/>
      <c r="AV5" s="75" t="s">
        <v>88</v>
      </c>
      <c r="AW5" s="68" t="s">
        <v>49</v>
      </c>
      <c r="AX5" s="70" t="s">
        <v>89</v>
      </c>
      <c r="AY5" s="70" t="str">
        <f>MID($I12,1,8)</f>
        <v>00</v>
      </c>
      <c r="AZ5" s="106" t="str">
        <f>IF(BIN2DEC(AY5)&gt;0,"!!!!CRC ERROR!!!","link stable")</f>
        <v>link stable</v>
      </c>
      <c r="BA5" s="38"/>
      <c r="BB5" s="44"/>
      <c r="BC5" s="44"/>
      <c r="BD5" s="44"/>
    </row>
    <row r="6" spans="1:56" x14ac:dyDescent="0.3">
      <c r="A6" s="26">
        <v>40</v>
      </c>
      <c r="B6" s="47" t="str">
        <f t="shared" si="1"/>
        <v>10</v>
      </c>
      <c r="C6" s="47" t="str">
        <f t="shared" si="2"/>
        <v>00</v>
      </c>
      <c r="D6" s="47" t="str">
        <f t="shared" si="3"/>
        <v>00</v>
      </c>
      <c r="E6" s="47" t="str">
        <f t="shared" si="4"/>
        <v>00</v>
      </c>
      <c r="F6" s="47" t="str">
        <f t="shared" si="5"/>
        <v>00</v>
      </c>
      <c r="G6" s="47" t="str">
        <f t="shared" si="6"/>
        <v>00</v>
      </c>
      <c r="H6" s="47" t="str">
        <f t="shared" si="7"/>
        <v>00</v>
      </c>
      <c r="I6" s="47" t="str">
        <f t="shared" si="8"/>
        <v>00</v>
      </c>
      <c r="J6" s="47" t="str">
        <f t="shared" si="9"/>
        <v>00</v>
      </c>
      <c r="K6" s="47" t="str">
        <f t="shared" si="10"/>
        <v>00</v>
      </c>
      <c r="L6" s="47" t="str">
        <f t="shared" si="11"/>
        <v>00</v>
      </c>
      <c r="M6" s="47" t="str">
        <f t="shared" si="12"/>
        <v>00</v>
      </c>
      <c r="N6" s="47" t="str">
        <f t="shared" si="13"/>
        <v>00</v>
      </c>
      <c r="O6" s="47" t="str">
        <f t="shared" si="14"/>
        <v>00</v>
      </c>
      <c r="P6" s="47" t="str">
        <f t="shared" si="15"/>
        <v>00</v>
      </c>
      <c r="Q6" s="47" t="str">
        <f t="shared" si="16"/>
        <v>00</v>
      </c>
      <c r="R6" s="53"/>
      <c r="S6" s="47" t="str">
        <f t="shared" si="17"/>
        <v>00010000</v>
      </c>
      <c r="T6" s="47" t="str">
        <f t="shared" si="0"/>
        <v>00000000</v>
      </c>
      <c r="U6" s="47" t="str">
        <f t="shared" si="0"/>
        <v>00000000</v>
      </c>
      <c r="V6" s="47" t="str">
        <f t="shared" si="0"/>
        <v>00000000</v>
      </c>
      <c r="W6" s="47" t="str">
        <f t="shared" si="0"/>
        <v>00000000</v>
      </c>
      <c r="X6" s="47" t="str">
        <f t="shared" si="0"/>
        <v>00000000</v>
      </c>
      <c r="Y6" s="47" t="str">
        <f t="shared" si="0"/>
        <v>00000000</v>
      </c>
      <c r="Z6" s="47" t="str">
        <f t="shared" si="0"/>
        <v>00000000</v>
      </c>
      <c r="AA6" s="47" t="str">
        <f t="shared" si="0"/>
        <v>00000000</v>
      </c>
      <c r="AB6" s="47" t="str">
        <f t="shared" si="0"/>
        <v>00000000</v>
      </c>
      <c r="AC6" s="47" t="str">
        <f t="shared" si="0"/>
        <v>00000000</v>
      </c>
      <c r="AD6" s="47" t="str">
        <f t="shared" si="0"/>
        <v>00000000</v>
      </c>
      <c r="AE6" s="47" t="str">
        <f t="shared" si="0"/>
        <v>00000000</v>
      </c>
      <c r="AF6" s="47" t="str">
        <f t="shared" si="0"/>
        <v>00000000</v>
      </c>
      <c r="AG6" s="47" t="str">
        <f t="shared" si="0"/>
        <v>00000000</v>
      </c>
      <c r="AH6" s="47" t="str">
        <f t="shared" si="0"/>
        <v>00000000</v>
      </c>
      <c r="AI6" s="44"/>
      <c r="AJ6" s="44"/>
      <c r="AK6" s="44"/>
      <c r="AL6" s="59" t="s">
        <v>90</v>
      </c>
      <c r="AM6" s="55" t="s">
        <v>91</v>
      </c>
      <c r="AN6" s="47" t="s">
        <v>92</v>
      </c>
      <c r="AO6" s="88" t="str">
        <f>MID($S2,8,1)</f>
        <v>0</v>
      </c>
      <c r="AP6" s="106" t="str">
        <f>IF(AO6="0", "2S/4S", IF(AO6="1", "8S", "error"))</f>
        <v>2S/4S</v>
      </c>
      <c r="AQ6" s="38"/>
      <c r="AR6" s="44"/>
      <c r="AS6" s="68" t="s">
        <v>93</v>
      </c>
      <c r="AT6" s="68" t="s">
        <v>94</v>
      </c>
      <c r="AU6" s="44"/>
      <c r="AV6" s="75" t="s">
        <v>95</v>
      </c>
      <c r="AW6" s="68" t="s">
        <v>52</v>
      </c>
      <c r="AX6" s="70" t="s">
        <v>96</v>
      </c>
      <c r="AY6" s="70" t="str">
        <f>MID($J12,1,8)</f>
        <v>d1</v>
      </c>
      <c r="AZ6" s="106" t="str">
        <f>IF(HEX2DEC(AY6)&gt;0,"link stable","!!!!check CRC!!!")</f>
        <v>link stable</v>
      </c>
      <c r="BA6" s="38"/>
      <c r="BB6" s="44"/>
      <c r="BC6" s="44"/>
      <c r="BD6" s="44"/>
    </row>
    <row r="7" spans="1:56" x14ac:dyDescent="0.3">
      <c r="A7" s="26">
        <v>50</v>
      </c>
      <c r="B7" s="47" t="str">
        <f t="shared" si="1"/>
        <v>10</v>
      </c>
      <c r="C7" s="47" t="str">
        <f t="shared" si="2"/>
        <v>04</v>
      </c>
      <c r="D7" s="47" t="str">
        <f t="shared" si="3"/>
        <v>02</v>
      </c>
      <c r="E7" s="47" t="str">
        <f t="shared" si="4"/>
        <v>0d</v>
      </c>
      <c r="F7" s="47" t="str">
        <f t="shared" si="5"/>
        <v>01</v>
      </c>
      <c r="G7" s="47" t="str">
        <f t="shared" si="6"/>
        <v>00</v>
      </c>
      <c r="H7" s="47" t="str">
        <f t="shared" si="7"/>
        <v>00</v>
      </c>
      <c r="I7" s="47" t="str">
        <f t="shared" si="8"/>
        <v>00</v>
      </c>
      <c r="J7" s="47" t="str">
        <f t="shared" si="9"/>
        <v>00</v>
      </c>
      <c r="K7" s="47" t="str">
        <f t="shared" si="10"/>
        <v>00</v>
      </c>
      <c r="L7" s="47" t="str">
        <f t="shared" si="11"/>
        <v>1a</v>
      </c>
      <c r="M7" s="47" t="str">
        <f t="shared" si="12"/>
        <v>04</v>
      </c>
      <c r="N7" s="47" t="str">
        <f t="shared" si="13"/>
        <v>17</v>
      </c>
      <c r="O7" s="47" t="str">
        <f t="shared" si="14"/>
        <v>06</v>
      </c>
      <c r="P7" s="47" t="str">
        <f t="shared" si="15"/>
        <v>00</v>
      </c>
      <c r="Q7" s="47" t="str">
        <f t="shared" si="16"/>
        <v>00</v>
      </c>
      <c r="R7" s="53"/>
      <c r="S7" s="47" t="str">
        <f t="shared" si="17"/>
        <v>00010000</v>
      </c>
      <c r="T7" s="47" t="str">
        <f t="shared" si="0"/>
        <v>00000100</v>
      </c>
      <c r="U7" s="47" t="str">
        <f t="shared" si="0"/>
        <v>00000010</v>
      </c>
      <c r="V7" s="47" t="str">
        <f t="shared" si="0"/>
        <v>00001101</v>
      </c>
      <c r="W7" s="47" t="str">
        <f t="shared" si="0"/>
        <v>00000001</v>
      </c>
      <c r="X7" s="47" t="str">
        <f t="shared" si="0"/>
        <v>00000000</v>
      </c>
      <c r="Y7" s="47" t="str">
        <f t="shared" si="0"/>
        <v>00000000</v>
      </c>
      <c r="Z7" s="47" t="str">
        <f t="shared" si="0"/>
        <v>00000000</v>
      </c>
      <c r="AA7" s="47" t="str">
        <f t="shared" si="0"/>
        <v>00000000</v>
      </c>
      <c r="AB7" s="47" t="str">
        <f t="shared" si="0"/>
        <v>00000000</v>
      </c>
      <c r="AC7" s="47" t="str">
        <f t="shared" si="0"/>
        <v>00011010</v>
      </c>
      <c r="AD7" s="47" t="str">
        <f t="shared" si="0"/>
        <v>00000100</v>
      </c>
      <c r="AE7" s="47" t="str">
        <f t="shared" si="0"/>
        <v>00010111</v>
      </c>
      <c r="AF7" s="47" t="str">
        <f t="shared" si="0"/>
        <v>00000110</v>
      </c>
      <c r="AG7" s="47" t="str">
        <f t="shared" si="0"/>
        <v>00000000</v>
      </c>
      <c r="AH7" s="47" t="str">
        <f t="shared" si="0"/>
        <v>00000000</v>
      </c>
      <c r="AI7" s="44"/>
      <c r="AJ7" s="44"/>
      <c r="AK7" s="44"/>
      <c r="AL7" s="59" t="s">
        <v>97</v>
      </c>
      <c r="AM7" s="55" t="s">
        <v>98</v>
      </c>
      <c r="AN7" s="70" t="s">
        <v>96</v>
      </c>
      <c r="AO7" s="88" t="str">
        <f>MID($W2,1,4)</f>
        <v>1111</v>
      </c>
      <c r="AP7" s="68"/>
      <c r="AQ7" s="44"/>
      <c r="AR7" s="44"/>
      <c r="AS7" s="68" t="s">
        <v>99</v>
      </c>
      <c r="AT7" s="68" t="s">
        <v>100</v>
      </c>
      <c r="AU7" s="44"/>
      <c r="AV7" s="44"/>
      <c r="AW7" s="44"/>
      <c r="AX7" s="44"/>
      <c r="AY7" s="44"/>
      <c r="AZ7" s="44"/>
      <c r="BA7" s="44"/>
      <c r="BB7" s="44"/>
      <c r="BC7" s="44"/>
      <c r="BD7" s="44"/>
    </row>
    <row r="8" spans="1:56" x14ac:dyDescent="0.3">
      <c r="A8" s="26">
        <v>60</v>
      </c>
      <c r="B8" s="47" t="str">
        <f t="shared" si="1"/>
        <v>10</v>
      </c>
      <c r="C8" s="47" t="str">
        <f t="shared" si="2"/>
        <v>00</v>
      </c>
      <c r="D8" s="47" t="str">
        <f t="shared" si="3"/>
        <v>02</v>
      </c>
      <c r="E8" s="47" t="str">
        <f t="shared" si="4"/>
        <v>18</v>
      </c>
      <c r="F8" s="47" t="str">
        <f t="shared" si="5"/>
        <v>01</v>
      </c>
      <c r="G8" s="47" t="str">
        <f t="shared" si="6"/>
        <v>00</v>
      </c>
      <c r="H8" s="47" t="str">
        <f t="shared" si="7"/>
        <v>00</v>
      </c>
      <c r="I8" s="47" t="str">
        <f t="shared" si="8"/>
        <v>00</v>
      </c>
      <c r="J8" s="47" t="str">
        <f t="shared" si="9"/>
        <v>00</v>
      </c>
      <c r="K8" s="47" t="str">
        <f t="shared" si="10"/>
        <v>00</v>
      </c>
      <c r="L8" s="47" t="str">
        <f t="shared" si="11"/>
        <v>1a</v>
      </c>
      <c r="M8" s="47" t="str">
        <f t="shared" si="12"/>
        <v>04</v>
      </c>
      <c r="N8" s="47" t="str">
        <f t="shared" si="13"/>
        <v>17</v>
      </c>
      <c r="O8" s="47" t="str">
        <f t="shared" si="14"/>
        <v>06</v>
      </c>
      <c r="P8" s="47" t="str">
        <f t="shared" si="15"/>
        <v>00</v>
      </c>
      <c r="Q8" s="47" t="str">
        <f t="shared" si="16"/>
        <v>00</v>
      </c>
      <c r="R8" s="53"/>
      <c r="S8" s="47" t="str">
        <f t="shared" si="17"/>
        <v>00010000</v>
      </c>
      <c r="T8" s="47" t="str">
        <f t="shared" si="0"/>
        <v>00000000</v>
      </c>
      <c r="U8" s="47" t="str">
        <f t="shared" si="0"/>
        <v>00000010</v>
      </c>
      <c r="V8" s="47" t="str">
        <f t="shared" si="0"/>
        <v>00011000</v>
      </c>
      <c r="W8" s="47" t="str">
        <f t="shared" si="0"/>
        <v>00000001</v>
      </c>
      <c r="X8" s="47" t="str">
        <f t="shared" si="0"/>
        <v>00000000</v>
      </c>
      <c r="Y8" s="47" t="str">
        <f t="shared" si="0"/>
        <v>00000000</v>
      </c>
      <c r="Z8" s="47" t="str">
        <f t="shared" si="0"/>
        <v>00000000</v>
      </c>
      <c r="AA8" s="47" t="str">
        <f t="shared" si="0"/>
        <v>00000000</v>
      </c>
      <c r="AB8" s="47" t="str">
        <f t="shared" si="0"/>
        <v>00000000</v>
      </c>
      <c r="AC8" s="47" t="str">
        <f t="shared" si="0"/>
        <v>00011010</v>
      </c>
      <c r="AD8" s="47" t="str">
        <f t="shared" si="0"/>
        <v>00000100</v>
      </c>
      <c r="AE8" s="47" t="str">
        <f t="shared" si="0"/>
        <v>00010111</v>
      </c>
      <c r="AF8" s="47" t="str">
        <f t="shared" si="0"/>
        <v>00000110</v>
      </c>
      <c r="AG8" s="47" t="str">
        <f t="shared" si="0"/>
        <v>00000000</v>
      </c>
      <c r="AH8" s="47" t="str">
        <f t="shared" si="0"/>
        <v>00000000</v>
      </c>
      <c r="AI8" s="44"/>
      <c r="AJ8" s="44"/>
      <c r="AK8" s="44"/>
      <c r="AL8" s="59" t="s">
        <v>101</v>
      </c>
      <c r="AM8" s="55" t="s">
        <v>102</v>
      </c>
      <c r="AN8" s="70" t="s">
        <v>96</v>
      </c>
      <c r="AO8" s="88" t="str">
        <f>MID($W2,5,4)</f>
        <v>1111</v>
      </c>
      <c r="AP8" s="68"/>
      <c r="AQ8" s="44"/>
      <c r="AR8" s="44"/>
      <c r="AS8" s="68" t="s">
        <v>103</v>
      </c>
      <c r="AT8" s="68" t="s">
        <v>104</v>
      </c>
      <c r="AU8" s="44"/>
      <c r="AV8" s="68"/>
      <c r="AW8" s="3" t="s">
        <v>105</v>
      </c>
      <c r="AX8" s="68"/>
      <c r="AY8" s="147"/>
      <c r="AZ8" s="68"/>
      <c r="BA8" s="44"/>
      <c r="BB8" s="44"/>
      <c r="BC8" s="103" t="s">
        <v>106</v>
      </c>
      <c r="BD8" s="68" t="s">
        <v>107</v>
      </c>
    </row>
    <row r="9" spans="1:56" x14ac:dyDescent="0.3">
      <c r="A9" s="26">
        <v>70</v>
      </c>
      <c r="B9" s="47" t="str">
        <f t="shared" si="1"/>
        <v>00</v>
      </c>
      <c r="C9" s="47" t="str">
        <f t="shared" si="2"/>
        <v>00</v>
      </c>
      <c r="D9" s="47" t="str">
        <f t="shared" si="3"/>
        <v>00</v>
      </c>
      <c r="E9" s="47" t="str">
        <f t="shared" si="4"/>
        <v>00</v>
      </c>
      <c r="F9" s="47" t="str">
        <f t="shared" si="5"/>
        <v>00</v>
      </c>
      <c r="G9" s="47" t="str">
        <f t="shared" si="6"/>
        <v>00</v>
      </c>
      <c r="H9" s="47" t="str">
        <f t="shared" si="7"/>
        <v>00</v>
      </c>
      <c r="I9" s="47" t="str">
        <f t="shared" si="8"/>
        <v>00</v>
      </c>
      <c r="J9" s="47" t="str">
        <f t="shared" si="9"/>
        <v>00</v>
      </c>
      <c r="K9" s="47" t="str">
        <f t="shared" si="10"/>
        <v>00</v>
      </c>
      <c r="L9" s="47" t="str">
        <f t="shared" si="11"/>
        <v>00</v>
      </c>
      <c r="M9" s="47" t="str">
        <f t="shared" si="12"/>
        <v>00</v>
      </c>
      <c r="N9" s="47" t="str">
        <f t="shared" si="13"/>
        <v>00</v>
      </c>
      <c r="O9" s="47" t="str">
        <f t="shared" si="14"/>
        <v>00</v>
      </c>
      <c r="P9" s="47" t="str">
        <f t="shared" si="15"/>
        <v>00</v>
      </c>
      <c r="Q9" s="47" t="str">
        <f t="shared" si="16"/>
        <v>00</v>
      </c>
      <c r="R9" s="53"/>
      <c r="S9" s="47" t="str">
        <f t="shared" si="17"/>
        <v>00000000</v>
      </c>
      <c r="T9" s="47" t="str">
        <f t="shared" si="0"/>
        <v>00000000</v>
      </c>
      <c r="U9" s="47" t="str">
        <f t="shared" si="0"/>
        <v>00000000</v>
      </c>
      <c r="V9" s="47" t="str">
        <f t="shared" si="0"/>
        <v>00000000</v>
      </c>
      <c r="W9" s="47" t="str">
        <f t="shared" si="0"/>
        <v>00000000</v>
      </c>
      <c r="X9" s="47" t="str">
        <f t="shared" si="0"/>
        <v>00000000</v>
      </c>
      <c r="Y9" s="47" t="str">
        <f t="shared" si="0"/>
        <v>00000000</v>
      </c>
      <c r="Z9" s="47" t="str">
        <f t="shared" si="0"/>
        <v>00000000</v>
      </c>
      <c r="AA9" s="47" t="str">
        <f t="shared" si="0"/>
        <v>00000000</v>
      </c>
      <c r="AB9" s="47" t="str">
        <f t="shared" si="0"/>
        <v>00000000</v>
      </c>
      <c r="AC9" s="47" t="str">
        <f t="shared" si="0"/>
        <v>00000000</v>
      </c>
      <c r="AD9" s="47" t="str">
        <f t="shared" si="0"/>
        <v>00000000</v>
      </c>
      <c r="AE9" s="47" t="str">
        <f t="shared" si="0"/>
        <v>00000000</v>
      </c>
      <c r="AF9" s="47" t="str">
        <f t="shared" si="0"/>
        <v>00000000</v>
      </c>
      <c r="AG9" s="47" t="str">
        <f t="shared" si="0"/>
        <v>00000000</v>
      </c>
      <c r="AH9" s="47" t="str">
        <f t="shared" si="0"/>
        <v>00000000</v>
      </c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137" t="s">
        <v>108</v>
      </c>
      <c r="AW9" s="94" t="s">
        <v>109</v>
      </c>
      <c r="AX9" s="95" t="s">
        <v>89</v>
      </c>
      <c r="AY9" s="102" t="str">
        <f>MID($S14,5,2)</f>
        <v>11</v>
      </c>
      <c r="AZ9" s="36" t="str">
        <f>IF(AY9="00","2S",IF(AY9="01","8S",IF(AY9="10","!!!D2ScheckFRU!!!",IF(AY9="11","4S","ERR"))))</f>
        <v>4S</v>
      </c>
      <c r="BA9" s="38"/>
      <c r="BB9" s="44"/>
      <c r="BC9" s="68" t="s">
        <v>110</v>
      </c>
      <c r="BD9" s="68" t="s">
        <v>111</v>
      </c>
    </row>
    <row r="10" spans="1:56" x14ac:dyDescent="0.3">
      <c r="A10" s="26">
        <v>80</v>
      </c>
      <c r="B10" s="47" t="str">
        <f t="shared" si="1"/>
        <v>00</v>
      </c>
      <c r="C10" s="47" t="str">
        <f t="shared" si="2"/>
        <v>00</v>
      </c>
      <c r="D10" s="47" t="str">
        <f t="shared" si="3"/>
        <v>00</v>
      </c>
      <c r="E10" s="47" t="str">
        <f t="shared" si="4"/>
        <v>00</v>
      </c>
      <c r="F10" s="47" t="str">
        <f t="shared" si="5"/>
        <v>00</v>
      </c>
      <c r="G10" s="47" t="str">
        <f t="shared" si="6"/>
        <v>00</v>
      </c>
      <c r="H10" s="47" t="str">
        <f t="shared" si="7"/>
        <v>00</v>
      </c>
      <c r="I10" s="47" t="str">
        <f t="shared" si="8"/>
        <v>00</v>
      </c>
      <c r="J10" s="47" t="str">
        <f t="shared" si="9"/>
        <v>00</v>
      </c>
      <c r="K10" s="47" t="str">
        <f t="shared" si="10"/>
        <v>00</v>
      </c>
      <c r="L10" s="47" t="str">
        <f t="shared" si="11"/>
        <v>00</v>
      </c>
      <c r="M10" s="47" t="str">
        <f t="shared" si="12"/>
        <v>00</v>
      </c>
      <c r="N10" s="47" t="str">
        <f t="shared" si="13"/>
        <v>00</v>
      </c>
      <c r="O10" s="47" t="str">
        <f t="shared" si="14"/>
        <v>00</v>
      </c>
      <c r="P10" s="47" t="str">
        <f t="shared" si="15"/>
        <v>00</v>
      </c>
      <c r="Q10" s="47" t="str">
        <f t="shared" si="16"/>
        <v>00</v>
      </c>
      <c r="R10" s="53"/>
      <c r="S10" s="47" t="str">
        <f t="shared" si="17"/>
        <v>00000000</v>
      </c>
      <c r="T10" s="47" t="str">
        <f t="shared" si="0"/>
        <v>00000000</v>
      </c>
      <c r="U10" s="47" t="str">
        <f t="shared" si="0"/>
        <v>00000000</v>
      </c>
      <c r="V10" s="47" t="str">
        <f t="shared" si="0"/>
        <v>00000000</v>
      </c>
      <c r="W10" s="47" t="str">
        <f t="shared" si="0"/>
        <v>00000000</v>
      </c>
      <c r="X10" s="47" t="str">
        <f t="shared" si="0"/>
        <v>00000000</v>
      </c>
      <c r="Y10" s="47" t="str">
        <f t="shared" si="0"/>
        <v>00000000</v>
      </c>
      <c r="Z10" s="47" t="str">
        <f t="shared" si="0"/>
        <v>00000000</v>
      </c>
      <c r="AA10" s="47" t="str">
        <f t="shared" si="0"/>
        <v>00000000</v>
      </c>
      <c r="AB10" s="47" t="str">
        <f t="shared" si="0"/>
        <v>00000000</v>
      </c>
      <c r="AC10" s="47" t="str">
        <f t="shared" si="0"/>
        <v>00000000</v>
      </c>
      <c r="AD10" s="47" t="str">
        <f t="shared" si="0"/>
        <v>00000000</v>
      </c>
      <c r="AE10" s="47" t="str">
        <f t="shared" si="0"/>
        <v>00000000</v>
      </c>
      <c r="AF10" s="47" t="str">
        <f t="shared" si="0"/>
        <v>00000000</v>
      </c>
      <c r="AG10" s="47" t="str">
        <f t="shared" si="0"/>
        <v>00000000</v>
      </c>
      <c r="AH10" s="47" t="str">
        <f t="shared" si="0"/>
        <v>00000000</v>
      </c>
      <c r="AI10" s="44"/>
      <c r="AJ10" s="44"/>
      <c r="AK10" s="44"/>
      <c r="AL10" s="68"/>
      <c r="AM10" s="3" t="s">
        <v>112</v>
      </c>
      <c r="AN10" s="169" t="s">
        <v>113</v>
      </c>
      <c r="AO10" s="170"/>
      <c r="AP10" s="171"/>
      <c r="AQ10" s="40"/>
      <c r="AR10" s="44"/>
      <c r="AS10" s="103" t="s">
        <v>114</v>
      </c>
      <c r="AT10" s="72" t="s">
        <v>115</v>
      </c>
      <c r="AU10" s="44"/>
      <c r="AV10" s="138" t="s">
        <v>116</v>
      </c>
      <c r="AW10" s="90" t="s">
        <v>117</v>
      </c>
      <c r="AX10" s="47" t="s">
        <v>118</v>
      </c>
      <c r="AY10" s="88" t="str">
        <f>MID($T14,1,8)</f>
        <v>11100100</v>
      </c>
      <c r="AZ10" s="68"/>
      <c r="BA10" s="44"/>
      <c r="BB10" s="44"/>
      <c r="BC10" s="68" t="s">
        <v>119</v>
      </c>
      <c r="BD10" s="68" t="s">
        <v>120</v>
      </c>
    </row>
    <row r="11" spans="1:56" x14ac:dyDescent="0.3">
      <c r="A11" s="26">
        <v>90</v>
      </c>
      <c r="B11" s="47" t="str">
        <f t="shared" si="1"/>
        <v>00</v>
      </c>
      <c r="C11" s="47" t="str">
        <f t="shared" si="2"/>
        <v>00</v>
      </c>
      <c r="D11" s="47" t="str">
        <f t="shared" si="3"/>
        <v>00</v>
      </c>
      <c r="E11" s="47" t="str">
        <f t="shared" si="4"/>
        <v>00</v>
      </c>
      <c r="F11" s="47" t="str">
        <f t="shared" si="5"/>
        <v>00</v>
      </c>
      <c r="G11" s="47" t="str">
        <f t="shared" si="6"/>
        <v>00</v>
      </c>
      <c r="H11" s="47" t="str">
        <f t="shared" si="7"/>
        <v>00</v>
      </c>
      <c r="I11" s="47" t="str">
        <f t="shared" si="8"/>
        <v>00</v>
      </c>
      <c r="J11" s="47" t="str">
        <f t="shared" si="9"/>
        <v>00</v>
      </c>
      <c r="K11" s="47" t="str">
        <f t="shared" si="10"/>
        <v>00</v>
      </c>
      <c r="L11" s="47" t="str">
        <f t="shared" si="11"/>
        <v>00</v>
      </c>
      <c r="M11" s="47" t="str">
        <f t="shared" si="12"/>
        <v>00</v>
      </c>
      <c r="N11" s="47" t="str">
        <f t="shared" si="13"/>
        <v>00</v>
      </c>
      <c r="O11" s="47" t="str">
        <f t="shared" si="14"/>
        <v>00</v>
      </c>
      <c r="P11" s="47" t="str">
        <f t="shared" si="15"/>
        <v>00</v>
      </c>
      <c r="Q11" s="47" t="str">
        <f t="shared" si="16"/>
        <v>00</v>
      </c>
      <c r="R11" s="53"/>
      <c r="S11" s="47" t="str">
        <f t="shared" si="17"/>
        <v>00000000</v>
      </c>
      <c r="T11" s="47" t="str">
        <f t="shared" si="0"/>
        <v>00000000</v>
      </c>
      <c r="U11" s="47" t="str">
        <f t="shared" si="0"/>
        <v>00000000</v>
      </c>
      <c r="V11" s="47" t="str">
        <f t="shared" si="0"/>
        <v>00000000</v>
      </c>
      <c r="W11" s="47" t="str">
        <f t="shared" si="0"/>
        <v>00000000</v>
      </c>
      <c r="X11" s="47" t="str">
        <f t="shared" si="0"/>
        <v>00000000</v>
      </c>
      <c r="Y11" s="47" t="str">
        <f t="shared" si="0"/>
        <v>00000000</v>
      </c>
      <c r="Z11" s="47" t="str">
        <f t="shared" si="0"/>
        <v>00000000</v>
      </c>
      <c r="AA11" s="47" t="str">
        <f t="shared" si="0"/>
        <v>00000000</v>
      </c>
      <c r="AB11" s="47" t="str">
        <f t="shared" si="0"/>
        <v>00000000</v>
      </c>
      <c r="AC11" s="47" t="str">
        <f t="shared" si="0"/>
        <v>00000000</v>
      </c>
      <c r="AD11" s="47" t="str">
        <f t="shared" si="0"/>
        <v>00000000</v>
      </c>
      <c r="AE11" s="47" t="str">
        <f t="shared" si="0"/>
        <v>00000000</v>
      </c>
      <c r="AF11" s="47" t="str">
        <f t="shared" si="0"/>
        <v>00000000</v>
      </c>
      <c r="AG11" s="47" t="str">
        <f t="shared" si="0"/>
        <v>00000000</v>
      </c>
      <c r="AH11" s="47" t="str">
        <f t="shared" si="0"/>
        <v>00000000</v>
      </c>
      <c r="AI11" s="44"/>
      <c r="AJ11" s="44"/>
      <c r="AK11" s="44"/>
      <c r="AL11" s="9" t="s">
        <v>121</v>
      </c>
      <c r="AM11" s="71"/>
      <c r="AN11" s="70" t="str">
        <f>TEXT(11111111,"00000000")</f>
        <v>11111111</v>
      </c>
      <c r="AO11" s="70" t="str">
        <f>MID(X2,1,8)</f>
        <v>00110011</v>
      </c>
      <c r="AP11" s="68"/>
      <c r="AQ11" s="44"/>
      <c r="AR11" s="44"/>
      <c r="AS11" s="75" t="s">
        <v>122</v>
      </c>
      <c r="AT11" s="68" t="s">
        <v>123</v>
      </c>
      <c r="AU11" s="44"/>
      <c r="AV11" s="138" t="s">
        <v>124</v>
      </c>
      <c r="AW11" s="96" t="s">
        <v>125</v>
      </c>
      <c r="AX11" s="47" t="s">
        <v>126</v>
      </c>
      <c r="AY11" s="88" t="str">
        <f>MID($U14,1,4)</f>
        <v>1100</v>
      </c>
      <c r="AZ11" s="35" t="str">
        <f>IF(AY11="1110", "CPU0-set2s",
 IF(AY11="1100", "CPU0-set4s",
 IF(AY11="0000", "CPU0-set8s",
 "CPU0 set error")))</f>
        <v>CPU0-set4s</v>
      </c>
      <c r="BA11" s="38"/>
      <c r="BB11" s="44"/>
      <c r="BC11" s="68" t="s">
        <v>127</v>
      </c>
      <c r="BD11" s="68" t="s">
        <v>128</v>
      </c>
    </row>
    <row r="12" spans="1:56" x14ac:dyDescent="0.3">
      <c r="A12" s="26" t="s">
        <v>129</v>
      </c>
      <c r="B12" s="47" t="str">
        <f t="shared" si="1"/>
        <v>00</v>
      </c>
      <c r="C12" s="47" t="str">
        <f t="shared" si="2"/>
        <v>00</v>
      </c>
      <c r="D12" s="47" t="str">
        <f t="shared" si="3"/>
        <v>00</v>
      </c>
      <c r="E12" s="47" t="str">
        <f t="shared" si="4"/>
        <v>00</v>
      </c>
      <c r="F12" s="47" t="str">
        <f t="shared" si="5"/>
        <v>00</v>
      </c>
      <c r="G12" s="47" t="str">
        <f t="shared" si="6"/>
        <v>00</v>
      </c>
      <c r="H12" s="47" t="str">
        <f t="shared" si="7"/>
        <v>31</v>
      </c>
      <c r="I12" s="47" t="str">
        <f t="shared" si="8"/>
        <v>00</v>
      </c>
      <c r="J12" s="47" t="str">
        <f t="shared" si="9"/>
        <v>d1</v>
      </c>
      <c r="K12" s="47" t="str">
        <f t="shared" si="10"/>
        <v>00</v>
      </c>
      <c r="L12" s="47" t="str">
        <f t="shared" si="11"/>
        <v>00</v>
      </c>
      <c r="M12" s="47" t="str">
        <f t="shared" si="12"/>
        <v>00</v>
      </c>
      <c r="N12" s="47" t="str">
        <f t="shared" si="13"/>
        <v>00</v>
      </c>
      <c r="O12" s="47" t="str">
        <f t="shared" si="14"/>
        <v>00</v>
      </c>
      <c r="P12" s="47" t="str">
        <f t="shared" si="15"/>
        <v>00</v>
      </c>
      <c r="Q12" s="47" t="str">
        <f t="shared" si="16"/>
        <v>00</v>
      </c>
      <c r="R12" s="53"/>
      <c r="S12" s="47" t="str">
        <f t="shared" si="17"/>
        <v>00000000</v>
      </c>
      <c r="T12" s="47" t="str">
        <f t="shared" si="0"/>
        <v>00000000</v>
      </c>
      <c r="U12" s="47" t="str">
        <f t="shared" si="0"/>
        <v>00000000</v>
      </c>
      <c r="V12" s="47" t="str">
        <f t="shared" si="0"/>
        <v>00000000</v>
      </c>
      <c r="W12" s="47" t="str">
        <f t="shared" si="0"/>
        <v>00000000</v>
      </c>
      <c r="X12" s="47" t="str">
        <f t="shared" si="0"/>
        <v>00000000</v>
      </c>
      <c r="Y12" s="47" t="str">
        <f t="shared" si="0"/>
        <v>00110001</v>
      </c>
      <c r="Z12" s="47" t="str">
        <f t="shared" si="0"/>
        <v>00000000</v>
      </c>
      <c r="AA12" s="47" t="str">
        <f t="shared" si="0"/>
        <v>11010001</v>
      </c>
      <c r="AB12" s="47" t="str">
        <f t="shared" si="0"/>
        <v>00000000</v>
      </c>
      <c r="AC12" s="47" t="str">
        <f t="shared" si="0"/>
        <v>00000000</v>
      </c>
      <c r="AD12" s="47" t="str">
        <f t="shared" si="0"/>
        <v>00000000</v>
      </c>
      <c r="AE12" s="47" t="str">
        <f t="shared" si="0"/>
        <v>00000000</v>
      </c>
      <c r="AF12" s="47" t="str">
        <f t="shared" si="0"/>
        <v>00000000</v>
      </c>
      <c r="AG12" s="47" t="str">
        <f t="shared" si="0"/>
        <v>00000000</v>
      </c>
      <c r="AH12" s="47" t="str">
        <f t="shared" si="0"/>
        <v>00000000</v>
      </c>
      <c r="AI12" s="44"/>
      <c r="AJ12" s="44"/>
      <c r="AK12" s="44"/>
      <c r="AL12" s="31" t="s">
        <v>130</v>
      </c>
      <c r="AM12" s="68" t="s">
        <v>131</v>
      </c>
      <c r="AN12" s="70" t="str">
        <f>MID(AN11,1,1)</f>
        <v>1</v>
      </c>
      <c r="AO12" s="70" t="str">
        <f>MID(AO11,1,1)</f>
        <v>0</v>
      </c>
      <c r="AP12" s="68"/>
      <c r="AQ12" s="44" t="s">
        <v>132</v>
      </c>
      <c r="AR12" s="44"/>
      <c r="AS12" s="75" t="s">
        <v>133</v>
      </c>
      <c r="AT12" s="68" t="s">
        <v>134</v>
      </c>
      <c r="AU12" s="44"/>
      <c r="AV12" s="139" t="s">
        <v>135</v>
      </c>
      <c r="AW12" s="68" t="s">
        <v>136</v>
      </c>
      <c r="AX12" s="47" t="s">
        <v>126</v>
      </c>
      <c r="AY12" s="101" t="str">
        <f>MID($U14,5,8)</f>
        <v>1100</v>
      </c>
      <c r="AZ12" s="106" t="str">
        <f>IF(AY12="1110", "CPU1-set2s",
 IF(AY12="1100", "CPU1-set4s",
 IF(AY12="0000", "CPU1-set8s",
 "CPU1 set error")))</f>
        <v>CPU1-set4s</v>
      </c>
      <c r="BA12" s="38"/>
      <c r="BB12" s="44"/>
      <c r="BC12" s="68" t="s">
        <v>137</v>
      </c>
      <c r="BD12" s="68" t="s">
        <v>138</v>
      </c>
    </row>
    <row r="13" spans="1:56" x14ac:dyDescent="0.3">
      <c r="A13" s="26" t="s">
        <v>139</v>
      </c>
      <c r="B13" s="47" t="str">
        <f t="shared" si="1"/>
        <v>00</v>
      </c>
      <c r="C13" s="47" t="str">
        <f t="shared" si="2"/>
        <v>00</v>
      </c>
      <c r="D13" s="47" t="str">
        <f t="shared" si="3"/>
        <v>00</v>
      </c>
      <c r="E13" s="47" t="str">
        <f t="shared" si="4"/>
        <v>00</v>
      </c>
      <c r="F13" s="47" t="str">
        <f t="shared" si="5"/>
        <v>00</v>
      </c>
      <c r="G13" s="47" t="str">
        <f t="shared" si="6"/>
        <v>00</v>
      </c>
      <c r="H13" s="47" t="str">
        <f t="shared" si="7"/>
        <v>00</v>
      </c>
      <c r="I13" s="47" t="str">
        <f t="shared" si="8"/>
        <v>00</v>
      </c>
      <c r="J13" s="47" t="str">
        <f t="shared" si="9"/>
        <v>00</v>
      </c>
      <c r="K13" s="47" t="str">
        <f t="shared" si="10"/>
        <v>00</v>
      </c>
      <c r="L13" s="47" t="str">
        <f t="shared" si="11"/>
        <v>00</v>
      </c>
      <c r="M13" s="47" t="str">
        <f t="shared" si="12"/>
        <v>00</v>
      </c>
      <c r="N13" s="47" t="str">
        <f t="shared" si="13"/>
        <v>00</v>
      </c>
      <c r="O13" s="47" t="str">
        <f t="shared" si="14"/>
        <v>00</v>
      </c>
      <c r="P13" s="47" t="str">
        <f t="shared" si="15"/>
        <v>00</v>
      </c>
      <c r="Q13" s="47" t="str">
        <f t="shared" si="16"/>
        <v>00</v>
      </c>
      <c r="R13" s="53"/>
      <c r="S13" s="47" t="str">
        <f t="shared" si="17"/>
        <v>00000000</v>
      </c>
      <c r="T13" s="47" t="str">
        <f t="shared" si="0"/>
        <v>00000000</v>
      </c>
      <c r="U13" s="47" t="str">
        <f t="shared" si="0"/>
        <v>00000000</v>
      </c>
      <c r="V13" s="47" t="str">
        <f t="shared" si="0"/>
        <v>00000000</v>
      </c>
      <c r="W13" s="47" t="str">
        <f t="shared" si="0"/>
        <v>00000000</v>
      </c>
      <c r="X13" s="47" t="str">
        <f t="shared" si="0"/>
        <v>00000000</v>
      </c>
      <c r="Y13" s="47" t="str">
        <f t="shared" si="0"/>
        <v>00000000</v>
      </c>
      <c r="Z13" s="47" t="str">
        <f t="shared" si="0"/>
        <v>00000000</v>
      </c>
      <c r="AA13" s="47" t="str">
        <f t="shared" si="0"/>
        <v>00000000</v>
      </c>
      <c r="AB13" s="47" t="str">
        <f t="shared" si="0"/>
        <v>00000000</v>
      </c>
      <c r="AC13" s="47" t="str">
        <f t="shared" si="0"/>
        <v>00000000</v>
      </c>
      <c r="AD13" s="47" t="str">
        <f t="shared" si="0"/>
        <v>00000000</v>
      </c>
      <c r="AE13" s="47" t="str">
        <f t="shared" si="0"/>
        <v>00000000</v>
      </c>
      <c r="AF13" s="47" t="str">
        <f t="shared" si="0"/>
        <v>00000000</v>
      </c>
      <c r="AG13" s="47" t="str">
        <f t="shared" si="0"/>
        <v>00000000</v>
      </c>
      <c r="AH13" s="47" t="str">
        <f t="shared" si="0"/>
        <v>00000000</v>
      </c>
      <c r="AI13" s="44"/>
      <c r="AJ13" s="44"/>
      <c r="AK13" s="44"/>
      <c r="AL13" s="31" t="s">
        <v>140</v>
      </c>
      <c r="AM13" s="68" t="s">
        <v>141</v>
      </c>
      <c r="AN13" s="70" t="str">
        <f>MID(AN11,2,1)</f>
        <v>1</v>
      </c>
      <c r="AO13" s="70" t="str">
        <f>MID(AO11,2,1)</f>
        <v>0</v>
      </c>
      <c r="AP13" s="68"/>
      <c r="AQ13" s="44" t="s">
        <v>142</v>
      </c>
      <c r="AR13" s="44"/>
      <c r="AS13" s="44"/>
      <c r="AT13" s="44"/>
      <c r="AU13" s="44"/>
      <c r="AV13" s="140"/>
      <c r="AW13" s="68" t="s">
        <v>143</v>
      </c>
      <c r="AX13" s="148"/>
      <c r="AY13" s="147"/>
      <c r="AZ13" s="68"/>
      <c r="BA13" s="44"/>
      <c r="BB13" s="44"/>
      <c r="BC13" s="44"/>
      <c r="BD13" s="44"/>
    </row>
    <row r="14" spans="1:56" x14ac:dyDescent="0.3">
      <c r="A14" s="26" t="s">
        <v>144</v>
      </c>
      <c r="B14" s="47" t="str">
        <f t="shared" si="1"/>
        <v>0c</v>
      </c>
      <c r="C14" s="47" t="str">
        <f t="shared" si="2"/>
        <v>e4</v>
      </c>
      <c r="D14" s="47" t="str">
        <f t="shared" si="3"/>
        <v>cc</v>
      </c>
      <c r="E14" s="47" t="str">
        <f t="shared" si="4"/>
        <v>43</v>
      </c>
      <c r="F14" s="47" t="str">
        <f t="shared" si="5"/>
        <v>34</v>
      </c>
      <c r="G14" s="47" t="str">
        <f t="shared" si="6"/>
        <v>33</v>
      </c>
      <c r="H14" s="47" t="str">
        <f t="shared" si="7"/>
        <v>41</v>
      </c>
      <c r="I14" s="47" t="str">
        <f t="shared" si="8"/>
        <v>42</v>
      </c>
      <c r="J14" s="47" t="str">
        <f t="shared" si="9"/>
        <v>00</v>
      </c>
      <c r="K14" s="47" t="str">
        <f t="shared" si="10"/>
        <v>00</v>
      </c>
      <c r="L14" s="47" t="str">
        <f t="shared" si="11"/>
        <v>00</v>
      </c>
      <c r="M14" s="47" t="str">
        <f t="shared" si="12"/>
        <v>00</v>
      </c>
      <c r="N14" s="47" t="str">
        <f t="shared" si="13"/>
        <v>00</v>
      </c>
      <c r="O14" s="47" t="str">
        <f t="shared" si="14"/>
        <v>00</v>
      </c>
      <c r="P14" s="47" t="str">
        <f t="shared" si="15"/>
        <v>00</v>
      </c>
      <c r="Q14" s="47" t="str">
        <f t="shared" si="16"/>
        <v>00</v>
      </c>
      <c r="R14" s="53"/>
      <c r="S14" s="47" t="str">
        <f t="shared" si="17"/>
        <v>00001100</v>
      </c>
      <c r="T14" s="47" t="str">
        <f t="shared" si="0"/>
        <v>11100100</v>
      </c>
      <c r="U14" s="47" t="str">
        <f t="shared" si="0"/>
        <v>11001100</v>
      </c>
      <c r="V14" s="47" t="str">
        <f t="shared" si="0"/>
        <v>01000011</v>
      </c>
      <c r="W14" s="47" t="str">
        <f t="shared" si="0"/>
        <v>00110100</v>
      </c>
      <c r="X14" s="47" t="str">
        <f t="shared" si="0"/>
        <v>00110011</v>
      </c>
      <c r="Y14" s="47" t="str">
        <f t="shared" si="0"/>
        <v>01000001</v>
      </c>
      <c r="Z14" s="47" t="str">
        <f t="shared" si="0"/>
        <v>01000010</v>
      </c>
      <c r="AA14" s="47" t="str">
        <f t="shared" si="0"/>
        <v>00000000</v>
      </c>
      <c r="AB14" s="47" t="str">
        <f t="shared" si="0"/>
        <v>00000000</v>
      </c>
      <c r="AC14" s="47" t="str">
        <f t="shared" si="0"/>
        <v>00000000</v>
      </c>
      <c r="AD14" s="47" t="str">
        <f t="shared" si="0"/>
        <v>00000000</v>
      </c>
      <c r="AE14" s="47" t="str">
        <f t="shared" si="0"/>
        <v>00000000</v>
      </c>
      <c r="AF14" s="47" t="str">
        <f t="shared" si="0"/>
        <v>00000000</v>
      </c>
      <c r="AG14" s="47" t="str">
        <f t="shared" si="0"/>
        <v>00000000</v>
      </c>
      <c r="AH14" s="47" t="str">
        <f t="shared" si="0"/>
        <v>00000000</v>
      </c>
      <c r="AI14" s="44"/>
      <c r="AJ14" s="44"/>
      <c r="AK14" s="44"/>
      <c r="AL14" s="31" t="s">
        <v>145</v>
      </c>
      <c r="AM14" s="68" t="s">
        <v>146</v>
      </c>
      <c r="AN14" s="70" t="str">
        <f>MID(AN11,3,1)</f>
        <v>1</v>
      </c>
      <c r="AO14" s="70" t="str">
        <f>MID(AO11,3,1)</f>
        <v>1</v>
      </c>
      <c r="AP14" s="68"/>
      <c r="AQ14" s="44" t="s">
        <v>147</v>
      </c>
      <c r="AR14" s="44"/>
      <c r="AS14" s="103" t="s">
        <v>148</v>
      </c>
      <c r="AT14" s="77" t="s">
        <v>149</v>
      </c>
      <c r="AU14" s="44"/>
      <c r="AV14" s="140" t="s">
        <v>150</v>
      </c>
      <c r="AW14" s="68" t="s">
        <v>151</v>
      </c>
      <c r="AX14" s="68">
        <v>43</v>
      </c>
      <c r="AY14" s="100" t="str">
        <f>E14</f>
        <v>43</v>
      </c>
      <c r="AZ14" s="36" t="str" cm="1">
        <f t="array" aca="1" ref="AZ14" ca="1">_xlfn.TEXTJOIN("", TRUE, MID(CHAR(HEX2DEC(MID(AY14, ROW(INDIRECT("1:" &amp; LEN(AY14)/2))*2-1, 2))), 1, 1))</f>
        <v>C</v>
      </c>
      <c r="BA14" s="38"/>
      <c r="BB14" s="44"/>
      <c r="BC14" s="4" t="s">
        <v>152</v>
      </c>
      <c r="BD14" s="69" t="s">
        <v>153</v>
      </c>
    </row>
    <row r="15" spans="1:56" x14ac:dyDescent="0.3">
      <c r="A15" s="26" t="s">
        <v>154</v>
      </c>
      <c r="B15" s="47" t="str">
        <f t="shared" si="1"/>
        <v>00</v>
      </c>
      <c r="C15" s="47" t="str">
        <f t="shared" si="2"/>
        <v>00</v>
      </c>
      <c r="D15" s="47" t="str">
        <f t="shared" si="3"/>
        <v>00</v>
      </c>
      <c r="E15" s="47" t="str">
        <f t="shared" si="4"/>
        <v>00</v>
      </c>
      <c r="F15" s="47" t="str">
        <f t="shared" si="5"/>
        <v>00</v>
      </c>
      <c r="G15" s="47" t="str">
        <f t="shared" si="6"/>
        <v>00</v>
      </c>
      <c r="H15" s="47" t="str">
        <f t="shared" si="7"/>
        <v>00</v>
      </c>
      <c r="I15" s="47" t="str">
        <f t="shared" si="8"/>
        <v>00</v>
      </c>
      <c r="J15" s="47" t="str">
        <f t="shared" si="9"/>
        <v>00</v>
      </c>
      <c r="K15" s="47" t="str">
        <f t="shared" si="10"/>
        <v>00</v>
      </c>
      <c r="L15" s="47" t="str">
        <f t="shared" si="11"/>
        <v>00</v>
      </c>
      <c r="M15" s="47" t="str">
        <f t="shared" si="12"/>
        <v>00</v>
      </c>
      <c r="N15" s="47" t="str">
        <f t="shared" si="13"/>
        <v>00</v>
      </c>
      <c r="O15" s="47" t="str">
        <f t="shared" si="14"/>
        <v>00</v>
      </c>
      <c r="P15" s="47" t="str">
        <f t="shared" si="15"/>
        <v>00</v>
      </c>
      <c r="Q15" s="47" t="str">
        <f t="shared" si="16"/>
        <v>00</v>
      </c>
      <c r="R15" s="53"/>
      <c r="S15" s="47" t="str">
        <f t="shared" si="17"/>
        <v>00000000</v>
      </c>
      <c r="T15" s="47" t="str">
        <f t="shared" si="0"/>
        <v>00000000</v>
      </c>
      <c r="U15" s="47" t="str">
        <f t="shared" si="0"/>
        <v>00000000</v>
      </c>
      <c r="V15" s="47" t="str">
        <f t="shared" si="0"/>
        <v>00000000</v>
      </c>
      <c r="W15" s="47" t="str">
        <f t="shared" si="0"/>
        <v>00000000</v>
      </c>
      <c r="X15" s="47" t="str">
        <f t="shared" si="0"/>
        <v>00000000</v>
      </c>
      <c r="Y15" s="47" t="str">
        <f t="shared" si="0"/>
        <v>00000000</v>
      </c>
      <c r="Z15" s="47" t="str">
        <f t="shared" si="0"/>
        <v>00000000</v>
      </c>
      <c r="AA15" s="47" t="str">
        <f t="shared" si="0"/>
        <v>00000000</v>
      </c>
      <c r="AB15" s="47" t="str">
        <f t="shared" si="0"/>
        <v>00000000</v>
      </c>
      <c r="AC15" s="47" t="str">
        <f t="shared" si="0"/>
        <v>00000000</v>
      </c>
      <c r="AD15" s="47" t="str">
        <f t="shared" si="0"/>
        <v>00000000</v>
      </c>
      <c r="AE15" s="47" t="str">
        <f t="shared" si="0"/>
        <v>00000000</v>
      </c>
      <c r="AF15" s="47" t="str">
        <f t="shared" si="0"/>
        <v>00000000</v>
      </c>
      <c r="AG15" s="47" t="str">
        <f t="shared" si="0"/>
        <v>00000000</v>
      </c>
      <c r="AH15" s="47" t="str">
        <f t="shared" si="0"/>
        <v>00000000</v>
      </c>
      <c r="AI15" s="44"/>
      <c r="AJ15" s="44"/>
      <c r="AK15" s="44"/>
      <c r="AL15" s="31" t="s">
        <v>155</v>
      </c>
      <c r="AM15" s="68" t="s">
        <v>156</v>
      </c>
      <c r="AN15" s="70" t="str">
        <f>MID(AN11,4,1)</f>
        <v>1</v>
      </c>
      <c r="AO15" s="70" t="str">
        <f>MID(AO11,4,1)</f>
        <v>1</v>
      </c>
      <c r="AP15" s="68"/>
      <c r="AQ15" s="44" t="s">
        <v>157</v>
      </c>
      <c r="AR15" s="44"/>
      <c r="AS15" s="70" t="s">
        <v>158</v>
      </c>
      <c r="AT15" s="105">
        <v>0.01</v>
      </c>
      <c r="AU15" s="44"/>
      <c r="AV15" s="138" t="s">
        <v>159</v>
      </c>
      <c r="AW15" s="68" t="s">
        <v>160</v>
      </c>
      <c r="AX15" s="68">
        <v>34</v>
      </c>
      <c r="AY15" s="100" t="str">
        <f>F14</f>
        <v>34</v>
      </c>
      <c r="AZ15" s="36" t="str" cm="1">
        <f t="array" aca="1" ref="AZ15" ca="1">_xlfn.TEXTJOIN("", TRUE, MID(CHAR(HEX2DEC(MID(AY15, ROW(INDIRECT("1:" &amp; LEN(AY15)/2))*2-1, 2))), 1, 1))</f>
        <v>4</v>
      </c>
      <c r="BA15" s="38"/>
      <c r="BB15" s="44"/>
      <c r="BC15" s="68" t="s">
        <v>161</v>
      </c>
      <c r="BD15" s="68" t="s">
        <v>162</v>
      </c>
    </row>
    <row r="16" spans="1:56" x14ac:dyDescent="0.3">
      <c r="A16" s="26" t="s">
        <v>163</v>
      </c>
      <c r="B16" s="47" t="str">
        <f t="shared" si="1"/>
        <v>00</v>
      </c>
      <c r="C16" s="47" t="str">
        <f t="shared" si="2"/>
        <v>00</v>
      </c>
      <c r="D16" s="47" t="str">
        <f t="shared" si="3"/>
        <v>00</v>
      </c>
      <c r="E16" s="47" t="str">
        <f t="shared" si="4"/>
        <v>00</v>
      </c>
      <c r="F16" s="47" t="str">
        <f t="shared" si="5"/>
        <v>00</v>
      </c>
      <c r="G16" s="47" t="str">
        <f t="shared" si="6"/>
        <v>00</v>
      </c>
      <c r="H16" s="47" t="str">
        <f t="shared" si="7"/>
        <v>00</v>
      </c>
      <c r="I16" s="47" t="str">
        <f t="shared" si="8"/>
        <v>00</v>
      </c>
      <c r="J16" s="47" t="str">
        <f t="shared" si="9"/>
        <v>00</v>
      </c>
      <c r="K16" s="47" t="str">
        <f t="shared" si="10"/>
        <v>00</v>
      </c>
      <c r="L16" s="47" t="str">
        <f t="shared" si="11"/>
        <v>00</v>
      </c>
      <c r="M16" s="47" t="str">
        <f t="shared" si="12"/>
        <v>00</v>
      </c>
      <c r="N16" s="47" t="str">
        <f t="shared" si="13"/>
        <v>00</v>
      </c>
      <c r="O16" s="47" t="str">
        <f t="shared" si="14"/>
        <v>00</v>
      </c>
      <c r="P16" s="47" t="str">
        <f t="shared" si="15"/>
        <v>00</v>
      </c>
      <c r="Q16" s="47" t="str">
        <f t="shared" si="16"/>
        <v>00</v>
      </c>
      <c r="R16" s="53"/>
      <c r="S16" s="47" t="str">
        <f t="shared" si="17"/>
        <v>00000000</v>
      </c>
      <c r="T16" s="47" t="str">
        <f t="shared" si="0"/>
        <v>00000000</v>
      </c>
      <c r="U16" s="47" t="str">
        <f t="shared" si="0"/>
        <v>00000000</v>
      </c>
      <c r="V16" s="47" t="str">
        <f t="shared" si="0"/>
        <v>00000000</v>
      </c>
      <c r="W16" s="47" t="str">
        <f t="shared" si="0"/>
        <v>00000000</v>
      </c>
      <c r="X16" s="47" t="str">
        <f t="shared" si="0"/>
        <v>00000000</v>
      </c>
      <c r="Y16" s="47" t="str">
        <f t="shared" si="0"/>
        <v>00000000</v>
      </c>
      <c r="Z16" s="47" t="str">
        <f t="shared" si="0"/>
        <v>00000000</v>
      </c>
      <c r="AA16" s="47" t="str">
        <f t="shared" si="0"/>
        <v>00000000</v>
      </c>
      <c r="AB16" s="47" t="str">
        <f t="shared" si="0"/>
        <v>00000000</v>
      </c>
      <c r="AC16" s="47" t="str">
        <f t="shared" si="0"/>
        <v>00000000</v>
      </c>
      <c r="AD16" s="47" t="str">
        <f t="shared" si="0"/>
        <v>00000000</v>
      </c>
      <c r="AE16" s="47" t="str">
        <f t="shared" si="0"/>
        <v>00000000</v>
      </c>
      <c r="AF16" s="47" t="str">
        <f t="shared" si="0"/>
        <v>00000000</v>
      </c>
      <c r="AG16" s="47" t="str">
        <f t="shared" si="0"/>
        <v>00000000</v>
      </c>
      <c r="AH16" s="47" t="str">
        <f t="shared" si="0"/>
        <v>00000000</v>
      </c>
      <c r="AI16" s="44"/>
      <c r="AJ16" s="44"/>
      <c r="AK16" s="44"/>
      <c r="AL16" s="31" t="s">
        <v>164</v>
      </c>
      <c r="AM16" s="68" t="s">
        <v>165</v>
      </c>
      <c r="AN16" s="70" t="str">
        <f>MID(AN11,5,1)</f>
        <v>1</v>
      </c>
      <c r="AO16" s="70" t="str">
        <f>MID(AO11,5,1)</f>
        <v>0</v>
      </c>
      <c r="AP16" s="68"/>
      <c r="AQ16" s="44" t="s">
        <v>166</v>
      </c>
      <c r="AR16" s="44"/>
      <c r="AS16" s="70" t="s">
        <v>167</v>
      </c>
      <c r="AT16" s="105">
        <v>1</v>
      </c>
      <c r="AU16" s="44"/>
      <c r="AV16" s="138" t="s">
        <v>168</v>
      </c>
      <c r="AW16" s="68" t="s">
        <v>169</v>
      </c>
      <c r="AX16" s="70" t="s">
        <v>170</v>
      </c>
      <c r="AY16" s="100" t="str">
        <f>G14</f>
        <v>33</v>
      </c>
      <c r="AZ16" s="36" t="str" cm="1">
        <f t="array" aca="1" ref="AZ16" ca="1">_xlfn.TEXTJOIN("", TRUE, MID(CHAR(HEX2DEC(MID(AY16, ROW(INDIRECT("1:" &amp; LEN(AY16)/2))*2-1, 2))), 1, 1))</f>
        <v>3</v>
      </c>
      <c r="BA16" s="38"/>
      <c r="BB16" s="44"/>
      <c r="BC16" s="68" t="s">
        <v>171</v>
      </c>
      <c r="BD16" s="68" t="s">
        <v>172</v>
      </c>
    </row>
    <row r="17" spans="1:56" x14ac:dyDescent="0.3">
      <c r="A17" s="26" t="s">
        <v>173</v>
      </c>
      <c r="B17" s="47" t="str">
        <f t="shared" si="1"/>
        <v>cd</v>
      </c>
      <c r="C17" s="47" t="str">
        <f t="shared" si="2"/>
        <v>1f</v>
      </c>
      <c r="D17" s="47" t="str">
        <f t="shared" si="3"/>
        <v>1f</v>
      </c>
      <c r="E17" s="47" t="str">
        <f t="shared" si="4"/>
        <v>00</v>
      </c>
      <c r="F17" s="47" t="str">
        <f t="shared" si="5"/>
        <v>00</v>
      </c>
      <c r="G17" s="47" t="str">
        <f t="shared" si="6"/>
        <v>00</v>
      </c>
      <c r="H17" s="47" t="str">
        <f t="shared" si="7"/>
        <v>00</v>
      </c>
      <c r="I17" s="47" t="str">
        <f t="shared" si="8"/>
        <v>00</v>
      </c>
      <c r="J17" s="47" t="str">
        <f t="shared" si="9"/>
        <v>00</v>
      </c>
      <c r="K17" s="47" t="str">
        <f t="shared" si="10"/>
        <v>00</v>
      </c>
      <c r="L17" s="47" t="str">
        <f t="shared" si="11"/>
        <v>00</v>
      </c>
      <c r="M17" s="47" t="str">
        <f t="shared" si="12"/>
        <v>00</v>
      </c>
      <c r="N17" s="47" t="str">
        <f t="shared" si="13"/>
        <v>00</v>
      </c>
      <c r="O17" s="47" t="str">
        <f t="shared" si="14"/>
        <v>00</v>
      </c>
      <c r="P17" s="47" t="str">
        <f t="shared" si="15"/>
        <v>02</v>
      </c>
      <c r="Q17" s="47" t="str">
        <f t="shared" si="16"/>
        <v>0a</v>
      </c>
      <c r="R17" s="62"/>
      <c r="S17" s="47" t="str">
        <f t="shared" si="17"/>
        <v>11001101</v>
      </c>
      <c r="T17" s="47" t="str">
        <f t="shared" si="0"/>
        <v>00011111</v>
      </c>
      <c r="U17" s="47" t="str">
        <f t="shared" si="0"/>
        <v>00011111</v>
      </c>
      <c r="V17" s="47" t="str">
        <f t="shared" si="0"/>
        <v>00000000</v>
      </c>
      <c r="W17" s="47" t="str">
        <f t="shared" si="0"/>
        <v>00000000</v>
      </c>
      <c r="X17" s="47" t="str">
        <f t="shared" si="0"/>
        <v>00000000</v>
      </c>
      <c r="Y17" s="47" t="str">
        <f t="shared" si="0"/>
        <v>00000000</v>
      </c>
      <c r="Z17" s="47" t="str">
        <f t="shared" si="0"/>
        <v>00000000</v>
      </c>
      <c r="AA17" s="47" t="str">
        <f t="shared" si="0"/>
        <v>00000000</v>
      </c>
      <c r="AB17" s="47" t="str">
        <f t="shared" si="0"/>
        <v>00000000</v>
      </c>
      <c r="AC17" s="47" t="str">
        <f t="shared" si="0"/>
        <v>00000000</v>
      </c>
      <c r="AD17" s="47" t="str">
        <f t="shared" si="0"/>
        <v>00000000</v>
      </c>
      <c r="AE17" s="47" t="str">
        <f t="shared" si="0"/>
        <v>00000000</v>
      </c>
      <c r="AF17" s="47" t="str">
        <f t="shared" si="0"/>
        <v>00000000</v>
      </c>
      <c r="AG17" s="47" t="str">
        <f t="shared" si="0"/>
        <v>00000010</v>
      </c>
      <c r="AH17" s="47" t="str">
        <f t="shared" si="0"/>
        <v>00001010</v>
      </c>
      <c r="AI17" s="44"/>
      <c r="AJ17" s="44"/>
      <c r="AK17" s="44"/>
      <c r="AL17" s="31" t="s">
        <v>174</v>
      </c>
      <c r="AM17" s="68" t="s">
        <v>175</v>
      </c>
      <c r="AN17" s="70" t="str">
        <f>MID(AN11,6,1)</f>
        <v>1</v>
      </c>
      <c r="AO17" s="70" t="str">
        <f>MID(AO11,6,1)</f>
        <v>0</v>
      </c>
      <c r="AP17" s="68"/>
      <c r="AQ17" s="44" t="s">
        <v>176</v>
      </c>
      <c r="AR17" s="44"/>
      <c r="AS17" s="44"/>
      <c r="AT17" s="44"/>
      <c r="AU17" s="44"/>
      <c r="AV17" s="138" t="s">
        <v>177</v>
      </c>
      <c r="AW17" s="68" t="s">
        <v>178</v>
      </c>
      <c r="AX17" s="68">
        <v>41</v>
      </c>
      <c r="AY17" s="100" t="str">
        <f>H14</f>
        <v>41</v>
      </c>
      <c r="AZ17" s="36" t="str" cm="1">
        <f t="array" aca="1" ref="AZ17" ca="1">_xlfn.TEXTJOIN("", TRUE, MID(CHAR(HEX2DEC(MID(AY17, ROW(INDIRECT("1:" &amp; LEN(AY17)/2))*2-1, 2))), 1, 1))</f>
        <v>A</v>
      </c>
      <c r="BA17" s="38"/>
      <c r="BB17" s="44"/>
      <c r="BC17" s="68" t="s">
        <v>179</v>
      </c>
      <c r="BD17" s="68" t="s">
        <v>180</v>
      </c>
    </row>
    <row r="18" spans="1:56" x14ac:dyDescent="0.3">
      <c r="A18" s="44"/>
      <c r="B18" s="44"/>
      <c r="C18" s="51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51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31" t="s">
        <v>181</v>
      </c>
      <c r="AM18" s="68" t="s">
        <v>182</v>
      </c>
      <c r="AN18" s="70" t="str">
        <f>MID(AN11,7,1)</f>
        <v>1</v>
      </c>
      <c r="AO18" s="70" t="str">
        <f>MID(AO11,7,1)</f>
        <v>1</v>
      </c>
      <c r="AP18" s="68"/>
      <c r="AQ18" s="44" t="s">
        <v>183</v>
      </c>
      <c r="AR18" s="44"/>
      <c r="AS18" s="44"/>
      <c r="AT18" s="44"/>
      <c r="AU18" s="44"/>
      <c r="AV18" s="75" t="s">
        <v>184</v>
      </c>
      <c r="AW18" s="68" t="s">
        <v>185</v>
      </c>
      <c r="AX18" s="68">
        <v>42</v>
      </c>
      <c r="AY18" s="100" t="str">
        <f>I14</f>
        <v>42</v>
      </c>
      <c r="AZ18" s="36" t="str" cm="1">
        <f t="array" aca="1" ref="AZ18" ca="1">_xlfn.TEXTJOIN("", TRUE, MID(CHAR(HEX2DEC(MID(AY18, ROW(INDIRECT("1:" &amp; LEN(AY18)/2))*2-1, 2))), 1, 1))</f>
        <v>B</v>
      </c>
      <c r="BA18" s="38"/>
      <c r="BB18" s="44"/>
      <c r="BC18" s="68" t="s">
        <v>186</v>
      </c>
      <c r="BD18" s="68" t="s">
        <v>187</v>
      </c>
    </row>
    <row r="19" spans="1:56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31" t="s">
        <v>188</v>
      </c>
      <c r="AM19" s="68" t="s">
        <v>189</v>
      </c>
      <c r="AN19" s="70" t="str">
        <f>MID(AN11,8,1)</f>
        <v>1</v>
      </c>
      <c r="AO19" s="70" t="str">
        <f>MID(AO11,8,1)</f>
        <v>1</v>
      </c>
      <c r="AP19" s="68"/>
      <c r="AQ19" s="44" t="s">
        <v>190</v>
      </c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</row>
    <row r="20" spans="1:56" ht="14.5" customHeight="1" x14ac:dyDescent="0.3">
      <c r="A20" s="168" t="s">
        <v>191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9" t="s">
        <v>192</v>
      </c>
      <c r="AM20" s="71"/>
      <c r="AN20" s="70" t="str">
        <f>TEXT(11111111,"00000000")</f>
        <v>11111111</v>
      </c>
      <c r="AO20" s="70" t="str">
        <f>MID(Y2,1,8)</f>
        <v>00001111</v>
      </c>
      <c r="AP20" s="68"/>
      <c r="AQ20" s="44"/>
      <c r="AR20" s="44"/>
      <c r="AS20" s="44"/>
      <c r="AT20" s="44"/>
      <c r="AU20" s="44"/>
      <c r="AV20" s="68"/>
      <c r="AW20" s="3" t="s">
        <v>112</v>
      </c>
      <c r="AX20" s="68"/>
      <c r="AY20" s="68"/>
      <c r="AZ20" s="68"/>
      <c r="BA20" s="44"/>
      <c r="BB20" s="44"/>
      <c r="BC20" s="4" t="s">
        <v>135</v>
      </c>
      <c r="BD20" s="72" t="s">
        <v>153</v>
      </c>
    </row>
    <row r="21" spans="1:56" x14ac:dyDescent="0.3">
      <c r="A21" s="44" t="s">
        <v>193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31" t="s">
        <v>194</v>
      </c>
      <c r="AM21" s="68" t="s">
        <v>195</v>
      </c>
      <c r="AN21" s="70" t="str">
        <f>MID(AN20,1,1)</f>
        <v>1</v>
      </c>
      <c r="AO21" s="70" t="str">
        <f>MID(AO20,1,1)</f>
        <v>0</v>
      </c>
      <c r="AP21" s="68"/>
      <c r="AQ21" s="44" t="s">
        <v>196</v>
      </c>
      <c r="AR21" s="44"/>
      <c r="AS21" s="44"/>
      <c r="AT21" s="44"/>
      <c r="AU21" s="44"/>
      <c r="AV21" s="9" t="s">
        <v>197</v>
      </c>
      <c r="AW21" s="71"/>
      <c r="AX21" s="70" t="s">
        <v>198</v>
      </c>
      <c r="AY21" s="70" t="str">
        <f>MID(S17,1,8)</f>
        <v>11001101</v>
      </c>
      <c r="AZ21" s="68"/>
      <c r="BA21" s="44"/>
      <c r="BB21" s="44"/>
      <c r="BC21" s="68" t="s">
        <v>199</v>
      </c>
      <c r="BD21" s="68" t="s">
        <v>200</v>
      </c>
    </row>
    <row r="22" spans="1:56" x14ac:dyDescent="0.3">
      <c r="A22" s="44" t="s">
        <v>2038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31" t="s">
        <v>201</v>
      </c>
      <c r="AM22" s="68" t="s">
        <v>202</v>
      </c>
      <c r="AN22" s="70" t="str">
        <f>MID(AN20,2,1)</f>
        <v>1</v>
      </c>
      <c r="AO22" s="70" t="str">
        <f>MID(AO20,2,1)</f>
        <v>0</v>
      </c>
      <c r="AP22" s="68"/>
      <c r="AQ22" s="44" t="s">
        <v>203</v>
      </c>
      <c r="AR22" s="44"/>
      <c r="AS22" s="44"/>
      <c r="AT22" s="44"/>
      <c r="AU22" s="44"/>
      <c r="AV22" s="31" t="s">
        <v>204</v>
      </c>
      <c r="AW22" s="68" t="s">
        <v>205</v>
      </c>
      <c r="AX22" s="70" t="str">
        <f>MID(AX21,1,1)</f>
        <v>1</v>
      </c>
      <c r="AY22" s="70" t="str">
        <f>MID(AY21,1,1)</f>
        <v>1</v>
      </c>
      <c r="AZ22" s="68"/>
      <c r="BA22" s="44" t="s">
        <v>206</v>
      </c>
      <c r="BB22" s="44"/>
      <c r="BC22" s="68" t="s">
        <v>207</v>
      </c>
      <c r="BD22" s="68" t="s">
        <v>208</v>
      </c>
    </row>
    <row r="23" spans="1:56" x14ac:dyDescent="0.3">
      <c r="A23" s="44" t="s">
        <v>2032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31" t="s">
        <v>209</v>
      </c>
      <c r="AM23" s="68" t="s">
        <v>210</v>
      </c>
      <c r="AN23" s="70" t="str">
        <f>MID(AN20,3,1)</f>
        <v>1</v>
      </c>
      <c r="AO23" s="70" t="str">
        <f>MID(AO20,3,1)</f>
        <v>0</v>
      </c>
      <c r="AP23" s="68"/>
      <c r="AQ23" s="44" t="s">
        <v>211</v>
      </c>
      <c r="AR23" s="44"/>
      <c r="AS23" s="44"/>
      <c r="AT23" s="44"/>
      <c r="AU23" s="44"/>
      <c r="AV23" s="31" t="s">
        <v>212</v>
      </c>
      <c r="AW23" s="68" t="s">
        <v>213</v>
      </c>
      <c r="AX23" s="70" t="str">
        <f>MID(AX21,2,1)</f>
        <v>1</v>
      </c>
      <c r="AY23" s="70" t="str">
        <f>MID(AY21,2,1)</f>
        <v>1</v>
      </c>
      <c r="AZ23" s="68"/>
      <c r="BA23" s="44" t="s">
        <v>214</v>
      </c>
      <c r="BB23" s="44"/>
      <c r="BC23" s="68" t="s">
        <v>215</v>
      </c>
      <c r="BD23" s="68" t="s">
        <v>216</v>
      </c>
    </row>
    <row r="24" spans="1:56" x14ac:dyDescent="0.3">
      <c r="A24" s="44" t="s">
        <v>217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31" t="s">
        <v>218</v>
      </c>
      <c r="AM24" s="68" t="s">
        <v>219</v>
      </c>
      <c r="AN24" s="70" t="str">
        <f>MID(AN20,4,1)</f>
        <v>1</v>
      </c>
      <c r="AO24" s="70" t="str">
        <f>MID(AO20,4,1)</f>
        <v>0</v>
      </c>
      <c r="AP24" s="68"/>
      <c r="AQ24" s="44" t="s">
        <v>220</v>
      </c>
      <c r="AR24" s="44"/>
      <c r="AS24" s="44"/>
      <c r="AT24" s="44"/>
      <c r="AU24" s="44"/>
      <c r="AV24" s="31" t="s">
        <v>221</v>
      </c>
      <c r="AW24" s="68" t="s">
        <v>222</v>
      </c>
      <c r="AX24" s="70" t="str">
        <f>IF(AY9="01","1","0")</f>
        <v>0</v>
      </c>
      <c r="AY24" s="70" t="str">
        <f>MID(AY21,3,1)</f>
        <v>0</v>
      </c>
      <c r="AZ24" s="68"/>
      <c r="BA24" s="44" t="s">
        <v>223</v>
      </c>
      <c r="BB24" s="44"/>
      <c r="BC24" s="68" t="s">
        <v>224</v>
      </c>
      <c r="BD24" s="68" t="s">
        <v>225</v>
      </c>
    </row>
    <row r="25" spans="1:56" x14ac:dyDescent="0.3">
      <c r="A25" s="44" t="s">
        <v>2033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31" t="s">
        <v>226</v>
      </c>
      <c r="AM25" s="68" t="s">
        <v>227</v>
      </c>
      <c r="AN25" s="70" t="str">
        <f>MID(AN20,5,1)</f>
        <v>1</v>
      </c>
      <c r="AO25" s="70" t="str">
        <f>MID(AO20,5,1)</f>
        <v>1</v>
      </c>
      <c r="AP25" s="68"/>
      <c r="AQ25" s="44" t="s">
        <v>228</v>
      </c>
      <c r="AR25" s="44"/>
      <c r="AS25" s="44"/>
      <c r="AT25" s="44"/>
      <c r="AU25" s="44"/>
      <c r="AV25" s="31" t="s">
        <v>229</v>
      </c>
      <c r="AW25" s="68" t="s">
        <v>230</v>
      </c>
      <c r="AX25" s="70" t="str">
        <f>IF(AY9="01","1","0")</f>
        <v>0</v>
      </c>
      <c r="AY25" s="70" t="str">
        <f>MID(AY21,4,1)</f>
        <v>0</v>
      </c>
      <c r="AZ25" s="68"/>
      <c r="BA25" s="44" t="s">
        <v>231</v>
      </c>
      <c r="BB25" s="44"/>
      <c r="BC25" s="44"/>
      <c r="BD25" s="44"/>
    </row>
    <row r="26" spans="1:56" x14ac:dyDescent="0.3">
      <c r="A26" s="44" t="s">
        <v>232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31" t="s">
        <v>233</v>
      </c>
      <c r="AM26" s="68" t="s">
        <v>234</v>
      </c>
      <c r="AN26" s="70" t="str">
        <f>MID(AN20,6,1)</f>
        <v>1</v>
      </c>
      <c r="AO26" s="70" t="str">
        <f>MID(AO20,6,1)</f>
        <v>1</v>
      </c>
      <c r="AP26" s="68"/>
      <c r="AQ26" s="44" t="s">
        <v>235</v>
      </c>
      <c r="AR26" s="44"/>
      <c r="AS26" s="44"/>
      <c r="AT26" s="44"/>
      <c r="AU26" s="44"/>
      <c r="AV26" s="31" t="s">
        <v>236</v>
      </c>
      <c r="AW26" s="68" t="s">
        <v>237</v>
      </c>
      <c r="AX26" s="70" t="str">
        <f>MID(AX21,5,1)</f>
        <v>1</v>
      </c>
      <c r="AY26" s="70" t="str">
        <f>MID(AY21,5,1)</f>
        <v>1</v>
      </c>
      <c r="AZ26" s="68"/>
      <c r="BA26" s="44" t="s">
        <v>238</v>
      </c>
      <c r="BB26" s="44"/>
      <c r="BC26" s="44"/>
      <c r="BD26" s="44"/>
    </row>
    <row r="27" spans="1:56" x14ac:dyDescent="0.3">
      <c r="A27" s="44" t="s">
        <v>2034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31" t="s">
        <v>239</v>
      </c>
      <c r="AM27" s="68" t="s">
        <v>240</v>
      </c>
      <c r="AN27" s="70" t="str">
        <f>MID(AN20,7,1)</f>
        <v>1</v>
      </c>
      <c r="AO27" s="70" t="str">
        <f>MID(AO20,7,1)</f>
        <v>1</v>
      </c>
      <c r="AP27" s="68"/>
      <c r="AQ27" s="44" t="s">
        <v>241</v>
      </c>
      <c r="AR27" s="44"/>
      <c r="AS27" s="44"/>
      <c r="AT27" s="44"/>
      <c r="AU27" s="44"/>
      <c r="AV27" s="31" t="s">
        <v>242</v>
      </c>
      <c r="AW27" s="68" t="s">
        <v>243</v>
      </c>
      <c r="AX27" s="70" t="str">
        <f>MID(AX21,6,1)</f>
        <v>1</v>
      </c>
      <c r="AY27" s="70" t="str">
        <f>MID(AY21,6,1)</f>
        <v>1</v>
      </c>
      <c r="AZ27" s="68"/>
      <c r="BA27" s="44" t="s">
        <v>244</v>
      </c>
      <c r="BB27" s="44"/>
      <c r="BC27" s="44"/>
      <c r="BD27" s="44"/>
    </row>
    <row r="28" spans="1:56" x14ac:dyDescent="0.3">
      <c r="A28" s="44" t="s">
        <v>2035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31" t="s">
        <v>245</v>
      </c>
      <c r="AM28" s="68" t="s">
        <v>246</v>
      </c>
      <c r="AN28" s="70" t="str">
        <f>MID(AN20,8,1)</f>
        <v>1</v>
      </c>
      <c r="AO28" s="70" t="str">
        <f>MID(AO20,8,1)</f>
        <v>1</v>
      </c>
      <c r="AP28" s="68"/>
      <c r="AQ28" s="44" t="s">
        <v>247</v>
      </c>
      <c r="AR28" s="44"/>
      <c r="AS28" s="44"/>
      <c r="AT28" s="44"/>
      <c r="AU28" s="44"/>
      <c r="AV28" s="31" t="s">
        <v>248</v>
      </c>
      <c r="AW28" s="68" t="s">
        <v>249</v>
      </c>
      <c r="AX28" s="70" t="str">
        <f>MID(AX21,7,1)</f>
        <v>0</v>
      </c>
      <c r="AY28" s="70" t="str">
        <f>MID(AY21,7,1)</f>
        <v>0</v>
      </c>
      <c r="AZ28" s="68"/>
      <c r="BA28" s="44"/>
      <c r="BB28" s="44"/>
      <c r="BC28" s="44"/>
      <c r="BD28" s="44"/>
    </row>
    <row r="29" spans="1:56" x14ac:dyDescent="0.3">
      <c r="A29" s="44" t="s">
        <v>548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31" t="s">
        <v>250</v>
      </c>
      <c r="AW29" s="68" t="s">
        <v>251</v>
      </c>
      <c r="AX29" s="70" t="str">
        <f>MID(AX21,8,1)</f>
        <v>1</v>
      </c>
      <c r="AY29" s="70" t="str">
        <f>MID(AY21,8,1)</f>
        <v>1</v>
      </c>
      <c r="AZ29" s="68"/>
      <c r="BA29" s="44"/>
      <c r="BB29" s="44"/>
      <c r="BC29" s="44"/>
      <c r="BD29" s="44"/>
    </row>
    <row r="30" spans="1:56" x14ac:dyDescent="0.3">
      <c r="A30" s="44" t="s">
        <v>555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68"/>
      <c r="AM30" s="3" t="s">
        <v>112</v>
      </c>
      <c r="AN30" s="68"/>
      <c r="AO30" s="68"/>
      <c r="AP30" s="68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</row>
    <row r="31" spans="1:56" x14ac:dyDescent="0.3">
      <c r="A31" s="44" t="s">
        <v>252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59" t="s">
        <v>253</v>
      </c>
      <c r="AM31" s="55" t="s">
        <v>254</v>
      </c>
      <c r="AN31" s="95" t="s">
        <v>92</v>
      </c>
      <c r="AO31" s="102" t="str">
        <f>MID($AA3,1,1)</f>
        <v>0</v>
      </c>
      <c r="AP31" s="141"/>
      <c r="AQ31" s="44"/>
      <c r="AR31" s="44"/>
      <c r="AS31" s="44"/>
      <c r="AT31" s="44"/>
      <c r="AU31" s="44"/>
      <c r="AV31" s="68"/>
      <c r="AW31" s="3" t="s">
        <v>255</v>
      </c>
      <c r="AX31" s="68"/>
      <c r="AY31" s="68"/>
      <c r="AZ31" s="68"/>
      <c r="BA31" s="44"/>
      <c r="BB31" s="44"/>
      <c r="BC31" s="44"/>
      <c r="BD31" s="44"/>
    </row>
    <row r="32" spans="1:56" x14ac:dyDescent="0.3">
      <c r="A32" s="44" t="s">
        <v>2036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59" t="s">
        <v>256</v>
      </c>
      <c r="AM32" s="55" t="s">
        <v>257</v>
      </c>
      <c r="AN32" s="47" t="s">
        <v>92</v>
      </c>
      <c r="AO32" s="88" t="str">
        <f>MID($AA3,2,1)</f>
        <v>0</v>
      </c>
      <c r="AP32" s="68"/>
      <c r="AQ32" s="44"/>
      <c r="AR32" s="44"/>
      <c r="AS32" s="44"/>
      <c r="AT32" s="44"/>
      <c r="AU32" s="44"/>
      <c r="AV32" s="9" t="s">
        <v>197</v>
      </c>
      <c r="AW32" s="71" t="s">
        <v>258</v>
      </c>
      <c r="AX32" s="70" t="str">
        <f>TEXT(1111111,"00000000")</f>
        <v>01111111</v>
      </c>
      <c r="AY32" s="70" t="str">
        <f>MID($T17,1,8)</f>
        <v>00011111</v>
      </c>
      <c r="AZ32" s="68"/>
      <c r="BA32" s="44"/>
      <c r="BB32" s="44"/>
      <c r="BC32" s="44"/>
      <c r="BD32" s="44"/>
    </row>
    <row r="33" spans="1:53" x14ac:dyDescent="0.3">
      <c r="A33" s="44" t="s">
        <v>259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59" t="s">
        <v>260</v>
      </c>
      <c r="AM33" s="55" t="s">
        <v>261</v>
      </c>
      <c r="AN33" s="47" t="s">
        <v>262</v>
      </c>
      <c r="AO33" s="88" t="str">
        <f>MID($AA3,3,8)</f>
        <v>000000</v>
      </c>
      <c r="AP33" s="68"/>
      <c r="AQ33" s="44"/>
      <c r="AR33" s="44"/>
      <c r="AS33" s="44"/>
      <c r="AT33" s="44"/>
      <c r="AU33" s="44"/>
      <c r="AV33" s="31" t="s">
        <v>263</v>
      </c>
      <c r="AW33" s="68" t="s">
        <v>264</v>
      </c>
      <c r="AX33" s="70" t="str">
        <f>MID(AX32,1,1)</f>
        <v>0</v>
      </c>
      <c r="AY33" s="70" t="str">
        <f>MID(AY32,1,1)</f>
        <v>0</v>
      </c>
      <c r="AZ33" s="68"/>
      <c r="BA33" s="44"/>
    </row>
    <row r="34" spans="1:53" x14ac:dyDescent="0.3">
      <c r="A34" s="44" t="s">
        <v>2023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59" t="s">
        <v>265</v>
      </c>
      <c r="AM34" s="55" t="s">
        <v>266</v>
      </c>
      <c r="AN34" s="70" t="s">
        <v>96</v>
      </c>
      <c r="AO34" s="88" t="str">
        <f>MID($K3,1,8)</f>
        <v>64</v>
      </c>
      <c r="AP34" s="36" t="str">
        <f>TEXT(HEX2DEC(AO34)/100,"0.00%")</f>
        <v>100.00%</v>
      </c>
      <c r="AQ34" s="38"/>
      <c r="AR34" s="44"/>
      <c r="AS34" s="44"/>
      <c r="AT34" s="44"/>
      <c r="AU34" s="44"/>
      <c r="AV34" s="31" t="s">
        <v>267</v>
      </c>
      <c r="AW34" s="68" t="s">
        <v>268</v>
      </c>
      <c r="AX34" s="70" t="str">
        <f>MID(AX32,2,1)</f>
        <v>1</v>
      </c>
      <c r="AY34" s="70" t="str">
        <f>MID(AY32,2,1)</f>
        <v>0</v>
      </c>
      <c r="AZ34" s="18"/>
      <c r="BA34" s="44" t="s">
        <v>269</v>
      </c>
    </row>
    <row r="35" spans="1:53" x14ac:dyDescent="0.3">
      <c r="A35" s="44" t="s">
        <v>270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59" t="s">
        <v>271</v>
      </c>
      <c r="AM35" s="55" t="s">
        <v>272</v>
      </c>
      <c r="AN35" s="47" t="s">
        <v>89</v>
      </c>
      <c r="AO35" s="88" t="str">
        <f>MID($L3,1,8)</f>
        <v>06</v>
      </c>
      <c r="AP35" s="68"/>
      <c r="AQ35" s="44"/>
      <c r="AR35" s="44"/>
      <c r="AS35" s="44"/>
      <c r="AT35" s="44"/>
      <c r="AU35" s="44"/>
      <c r="AV35" s="31" t="s">
        <v>273</v>
      </c>
      <c r="AW35" s="68" t="s">
        <v>274</v>
      </c>
      <c r="AX35" s="70" t="str">
        <f>MID(AX32,3,1)</f>
        <v>1</v>
      </c>
      <c r="AY35" s="70" t="str">
        <f>MID(AY32,3,1)</f>
        <v>0</v>
      </c>
      <c r="AZ35" s="18"/>
      <c r="BA35" s="44" t="s">
        <v>275</v>
      </c>
    </row>
    <row r="36" spans="1:53" x14ac:dyDescent="0.3">
      <c r="A36" s="44" t="s">
        <v>276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59" t="s">
        <v>277</v>
      </c>
      <c r="AM36" s="90" t="s">
        <v>278</v>
      </c>
      <c r="AN36" s="47" t="s">
        <v>279</v>
      </c>
      <c r="AO36" s="88" t="str">
        <f>MID($M3,1,8)</f>
        <v>1e</v>
      </c>
      <c r="AP36" s="68"/>
      <c r="AQ36" s="44"/>
      <c r="AR36" s="44"/>
      <c r="AS36" s="44"/>
      <c r="AT36" s="44"/>
      <c r="AU36" s="44"/>
      <c r="AV36" s="31" t="s">
        <v>280</v>
      </c>
      <c r="AW36" s="68" t="s">
        <v>258</v>
      </c>
      <c r="AX36" s="70" t="str">
        <f>MID(AX32,4,1)</f>
        <v>1</v>
      </c>
      <c r="AY36" s="70" t="str">
        <f>MID(AY32,4,1)</f>
        <v>1</v>
      </c>
      <c r="AZ36" s="68"/>
      <c r="BA36" s="44"/>
    </row>
    <row r="37" spans="1:53" x14ac:dyDescent="0.3">
      <c r="A37" s="44" t="s">
        <v>2037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31" t="s">
        <v>281</v>
      </c>
      <c r="AW37" s="68" t="s">
        <v>282</v>
      </c>
      <c r="AX37" s="70" t="str">
        <f>MID(AX32,5,1)</f>
        <v>1</v>
      </c>
      <c r="AY37" s="70" t="str">
        <f>MID(AY32,5,1)</f>
        <v>1</v>
      </c>
      <c r="AZ37" s="146" t="str">
        <f>IF(BIN2DEC(AY37)=1,"stable","!SLED3 trottle!")</f>
        <v>stable</v>
      </c>
      <c r="BA37" s="44"/>
    </row>
    <row r="38" spans="1:53" x14ac:dyDescent="0.3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68"/>
      <c r="AM38" s="3" t="s">
        <v>283</v>
      </c>
      <c r="AN38" s="68"/>
      <c r="AO38" s="68"/>
      <c r="AP38" s="68"/>
      <c r="AQ38" s="44"/>
      <c r="AR38" s="44"/>
      <c r="AS38" s="44"/>
      <c r="AT38" s="44"/>
      <c r="AU38" s="44"/>
      <c r="AV38" s="31" t="s">
        <v>284</v>
      </c>
      <c r="AW38" s="68" t="s">
        <v>285</v>
      </c>
      <c r="AX38" s="70" t="str">
        <f>MID(AX32,6,1)</f>
        <v>1</v>
      </c>
      <c r="AY38" s="70" t="str">
        <f>MID(AY32,6,1)</f>
        <v>1</v>
      </c>
      <c r="AZ38" s="146" t="str">
        <f>IF(BIN2DEC(AY38)=1,"stable","!SLED2 trottle!")</f>
        <v>stable</v>
      </c>
      <c r="BA38" s="44"/>
    </row>
    <row r="39" spans="1:53" x14ac:dyDescent="0.3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9" t="s">
        <v>286</v>
      </c>
      <c r="AM39" s="71"/>
      <c r="AN39" s="70" t="str">
        <f>TEXT(11111111,"00000000")</f>
        <v>11111111</v>
      </c>
      <c r="AO39" s="70" t="str">
        <f>MID(AF3,1,8)</f>
        <v>00001111</v>
      </c>
      <c r="AP39" s="68"/>
      <c r="AQ39" s="44"/>
      <c r="AR39" s="44"/>
      <c r="AS39" s="44"/>
      <c r="AT39" s="44"/>
      <c r="AU39" s="44"/>
      <c r="AV39" s="31" t="s">
        <v>287</v>
      </c>
      <c r="AW39" s="68" t="s">
        <v>288</v>
      </c>
      <c r="AX39" s="70" t="str">
        <f>MID(AX32,7,1)</f>
        <v>1</v>
      </c>
      <c r="AY39" s="70" t="str">
        <f>MID(AY32,7,1)</f>
        <v>1</v>
      </c>
      <c r="AZ39" s="146" t="str">
        <f>IF(BIN2DEC(AY39)=1,"stable","!SLED1 trottle!")</f>
        <v>stable</v>
      </c>
      <c r="BA39" s="44"/>
    </row>
    <row r="40" spans="1:53" x14ac:dyDescent="0.3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31" t="s">
        <v>289</v>
      </c>
      <c r="AM40" s="68" t="s">
        <v>290</v>
      </c>
      <c r="AN40" s="70" t="str">
        <f>MID(AN39,1,1)</f>
        <v>1</v>
      </c>
      <c r="AO40" s="70" t="str">
        <f>MID(AO39,1,1)</f>
        <v>0</v>
      </c>
      <c r="AP40" s="68"/>
      <c r="AQ40" s="44" t="s">
        <v>291</v>
      </c>
      <c r="AR40" s="44"/>
      <c r="AS40" s="44"/>
      <c r="AT40" s="44"/>
      <c r="AU40" s="44"/>
      <c r="AV40" s="31" t="s">
        <v>292</v>
      </c>
      <c r="AW40" s="68" t="s">
        <v>293</v>
      </c>
      <c r="AX40" s="70" t="str">
        <f>MID(AX32,8,1)</f>
        <v>1</v>
      </c>
      <c r="AY40" s="70" t="str">
        <f>MID(AY32,8,1)</f>
        <v>1</v>
      </c>
      <c r="AZ40" s="146" t="str">
        <f>IF(BIN2DEC(AY40)=1,"stable","!SLED0 trottle!")</f>
        <v>stable</v>
      </c>
      <c r="BA40" s="44"/>
    </row>
    <row r="41" spans="1:53" x14ac:dyDescent="0.3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31" t="s">
        <v>294</v>
      </c>
      <c r="AM41" s="68" t="s">
        <v>295</v>
      </c>
      <c r="AN41" s="70" t="str">
        <f>MID(AN39,2,1)</f>
        <v>1</v>
      </c>
      <c r="AO41" s="70" t="str">
        <f>MID(AO39,2,1)</f>
        <v>0</v>
      </c>
      <c r="AP41" s="68"/>
      <c r="AQ41" s="44" t="s">
        <v>296</v>
      </c>
      <c r="AR41" s="44"/>
      <c r="AS41" s="44"/>
      <c r="AT41" s="44"/>
      <c r="AU41" s="44"/>
      <c r="AV41" s="9" t="s">
        <v>297</v>
      </c>
      <c r="AW41" s="71" t="s">
        <v>298</v>
      </c>
      <c r="AX41" s="70" t="str">
        <f>TEXT(11111,"00000000")</f>
        <v>00011111</v>
      </c>
      <c r="AY41" s="70" t="str">
        <f>MID($U17,1,8)</f>
        <v>00011111</v>
      </c>
      <c r="AZ41" s="68"/>
      <c r="BA41" s="44"/>
    </row>
    <row r="42" spans="1:53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31" t="s">
        <v>299</v>
      </c>
      <c r="AM42" s="68" t="s">
        <v>300</v>
      </c>
      <c r="AN42" s="70" t="str">
        <f>MID(AN39,3,1)</f>
        <v>1</v>
      </c>
      <c r="AO42" s="70" t="str">
        <f>MID(AO39,3,1)</f>
        <v>0</v>
      </c>
      <c r="AP42" s="68"/>
      <c r="AQ42" s="44" t="s">
        <v>301</v>
      </c>
      <c r="AR42" s="44"/>
      <c r="AS42" s="44"/>
      <c r="AT42" s="44"/>
      <c r="AU42" s="44"/>
      <c r="AV42" s="31" t="s">
        <v>302</v>
      </c>
      <c r="AW42" s="68" t="s">
        <v>264</v>
      </c>
      <c r="AX42" s="70" t="str">
        <f>MID(AX41,1,1)</f>
        <v>0</v>
      </c>
      <c r="AY42" s="70" t="str">
        <f>MID(AY41,1,1)</f>
        <v>0</v>
      </c>
      <c r="AZ42" s="68"/>
      <c r="BA42" s="44"/>
    </row>
    <row r="43" spans="1:53" x14ac:dyDescent="0.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31" t="s">
        <v>303</v>
      </c>
      <c r="AM43" s="68" t="s">
        <v>304</v>
      </c>
      <c r="AN43" s="70" t="str">
        <f>MID(AN39,4,1)</f>
        <v>1</v>
      </c>
      <c r="AO43" s="70" t="str">
        <f>MID(AO39,4,1)</f>
        <v>0</v>
      </c>
      <c r="AP43" s="68"/>
      <c r="AQ43" s="44" t="s">
        <v>305</v>
      </c>
      <c r="AR43" s="44"/>
      <c r="AS43" s="44"/>
      <c r="AT43" s="44"/>
      <c r="AU43" s="44"/>
      <c r="AV43" s="31" t="s">
        <v>306</v>
      </c>
      <c r="AW43" s="68" t="s">
        <v>264</v>
      </c>
      <c r="AX43" s="70" t="str">
        <f>MID(AX41,2,1)</f>
        <v>0</v>
      </c>
      <c r="AY43" s="70" t="str">
        <f>MID(AY41,2,1)</f>
        <v>0</v>
      </c>
      <c r="AZ43" s="68"/>
      <c r="BA43" s="44"/>
    </row>
    <row r="44" spans="1:53" x14ac:dyDescent="0.3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31" t="s">
        <v>307</v>
      </c>
      <c r="AM44" s="68" t="s">
        <v>308</v>
      </c>
      <c r="AN44" s="70" t="str">
        <f>MID(AN39,5,1)</f>
        <v>1</v>
      </c>
      <c r="AO44" s="70" t="str">
        <f>MID(AO39,5,1)</f>
        <v>1</v>
      </c>
      <c r="AP44" s="68"/>
      <c r="AQ44" s="44" t="s">
        <v>309</v>
      </c>
      <c r="AR44" s="44"/>
      <c r="AS44" s="44"/>
      <c r="AT44" s="44"/>
      <c r="AU44" s="44"/>
      <c r="AV44" s="31" t="s">
        <v>310</v>
      </c>
      <c r="AW44" s="68" t="s">
        <v>311</v>
      </c>
      <c r="AX44" s="70" t="str">
        <f>MID(AX41,3,1)</f>
        <v>0</v>
      </c>
      <c r="AY44" s="70" t="str">
        <f>MID(AY41,3,1)</f>
        <v>0</v>
      </c>
      <c r="AZ44" s="68"/>
      <c r="BA44" s="44"/>
    </row>
    <row r="45" spans="1:53" x14ac:dyDescent="0.3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31" t="s">
        <v>312</v>
      </c>
      <c r="AM45" s="68" t="s">
        <v>313</v>
      </c>
      <c r="AN45" s="70" t="str">
        <f>MID(AN39,6,1)</f>
        <v>1</v>
      </c>
      <c r="AO45" s="70" t="str">
        <f>MID(AO39,6,1)</f>
        <v>1</v>
      </c>
      <c r="AP45" s="68"/>
      <c r="AQ45" s="44" t="s">
        <v>314</v>
      </c>
      <c r="AR45" s="44"/>
      <c r="AS45" s="44"/>
      <c r="AT45" s="44"/>
      <c r="AU45" s="44"/>
      <c r="AV45" s="31" t="s">
        <v>315</v>
      </c>
      <c r="AW45" s="68" t="s">
        <v>298</v>
      </c>
      <c r="AX45" s="70" t="str">
        <f>MID(AX41,4,1)</f>
        <v>1</v>
      </c>
      <c r="AY45" s="70" t="str">
        <f>MID(AY41,4,1)</f>
        <v>1</v>
      </c>
      <c r="AZ45" s="68"/>
      <c r="BA45" s="44"/>
    </row>
    <row r="46" spans="1:53" x14ac:dyDescent="0.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31" t="s">
        <v>316</v>
      </c>
      <c r="AM46" s="68" t="s">
        <v>317</v>
      </c>
      <c r="AN46" s="70" t="str">
        <f>MID(AN39,7,1)</f>
        <v>1</v>
      </c>
      <c r="AO46" s="70" t="str">
        <f>MID(AO39,7,1)</f>
        <v>1</v>
      </c>
      <c r="AP46" s="68"/>
      <c r="AQ46" s="44" t="s">
        <v>318</v>
      </c>
      <c r="AR46" s="44"/>
      <c r="AS46" s="44"/>
      <c r="AT46" s="44"/>
      <c r="AU46" s="44"/>
      <c r="AV46" s="31" t="s">
        <v>319</v>
      </c>
      <c r="AW46" s="68" t="s">
        <v>320</v>
      </c>
      <c r="AX46" s="70" t="str">
        <f>MID(AX41,5,1)</f>
        <v>1</v>
      </c>
      <c r="AY46" s="70" t="str">
        <f>MID(AY41,5,1)</f>
        <v>1</v>
      </c>
      <c r="AZ46" s="146" t="str">
        <f>IF(BIN2DEC(AY46)=1,"stable","!SLED3 prochot!")</f>
        <v>stable</v>
      </c>
      <c r="BA46" s="44"/>
    </row>
    <row r="47" spans="1:53" x14ac:dyDescent="0.3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31" t="s">
        <v>321</v>
      </c>
      <c r="AM47" s="68" t="s">
        <v>322</v>
      </c>
      <c r="AN47" s="70" t="str">
        <f>MID(AN39,8,1)</f>
        <v>1</v>
      </c>
      <c r="AO47" s="70" t="str">
        <f>MID(AO39,8,1)</f>
        <v>1</v>
      </c>
      <c r="AP47" s="68"/>
      <c r="AQ47" s="44" t="s">
        <v>323</v>
      </c>
      <c r="AR47" s="44"/>
      <c r="AS47" s="44"/>
      <c r="AT47" s="44"/>
      <c r="AU47" s="44"/>
      <c r="AV47" s="31" t="s">
        <v>324</v>
      </c>
      <c r="AW47" s="68" t="s">
        <v>325</v>
      </c>
      <c r="AX47" s="70" t="str">
        <f>MID(AX41,6,1)</f>
        <v>1</v>
      </c>
      <c r="AY47" s="70" t="str">
        <f>MID(AY41,6,1)</f>
        <v>1</v>
      </c>
      <c r="AZ47" s="146" t="str">
        <f>IF(BIN2DEC(AY47)=1,"stable","!SLED2 prochot!")</f>
        <v>stable</v>
      </c>
      <c r="BA47" s="44"/>
    </row>
    <row r="48" spans="1:53" x14ac:dyDescent="0.3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31" t="s">
        <v>326</v>
      </c>
      <c r="AW48" s="68" t="s">
        <v>327</v>
      </c>
      <c r="AX48" s="70" t="str">
        <f>MID(AX41,7,1)</f>
        <v>1</v>
      </c>
      <c r="AY48" s="70" t="str">
        <f>MID(AY41,7,1)</f>
        <v>1</v>
      </c>
      <c r="AZ48" s="146" t="str">
        <f>IF(BIN2DEC(AY48)=1,"stable","!SLED1 prochot!")</f>
        <v>stable</v>
      </c>
      <c r="BA48" s="44"/>
    </row>
    <row r="49" spans="38:53" x14ac:dyDescent="0.3">
      <c r="AL49" s="75"/>
      <c r="AM49" s="3" t="s">
        <v>328</v>
      </c>
      <c r="AN49" s="68"/>
      <c r="AO49" s="68"/>
      <c r="AP49" s="68"/>
      <c r="AQ49" s="44"/>
      <c r="AR49" s="44"/>
      <c r="AS49" s="44"/>
      <c r="AT49" s="44"/>
      <c r="AU49" s="44"/>
      <c r="AV49" s="31" t="s">
        <v>329</v>
      </c>
      <c r="AW49" s="68" t="s">
        <v>330</v>
      </c>
      <c r="AX49" s="70" t="str">
        <f>MID(AX41,8,1)</f>
        <v>1</v>
      </c>
      <c r="AY49" s="70" t="str">
        <f>MID(AY41,8,1)</f>
        <v>1</v>
      </c>
      <c r="AZ49" s="146" t="str">
        <f>IF(BIN2DEC(AY49)=1,"stable","!SLED0 prochot!")</f>
        <v>stable</v>
      </c>
      <c r="BA49" s="44"/>
    </row>
    <row r="50" spans="38:53" x14ac:dyDescent="0.3">
      <c r="AL50" s="75" t="s">
        <v>331</v>
      </c>
      <c r="AM50" s="68" t="s">
        <v>332</v>
      </c>
      <c r="AN50" s="70" t="s">
        <v>96</v>
      </c>
      <c r="AO50" s="142" t="str">
        <f>AG3</f>
        <v>00000010</v>
      </c>
      <c r="AP50" s="68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</row>
    <row r="51" spans="38:53" x14ac:dyDescent="0.3">
      <c r="AL51" s="60"/>
      <c r="AM51" s="44"/>
      <c r="AN51" s="44"/>
      <c r="AO51" s="44"/>
      <c r="AP51" s="44"/>
      <c r="AQ51" s="44"/>
      <c r="AR51" s="44"/>
      <c r="AS51" s="44"/>
      <c r="AT51" s="44"/>
      <c r="AU51" s="44"/>
      <c r="AV51" s="66"/>
      <c r="AW51" s="3" t="s">
        <v>333</v>
      </c>
      <c r="AX51" s="70"/>
      <c r="AY51" s="70"/>
      <c r="AZ51" s="68"/>
      <c r="BA51" s="44"/>
    </row>
    <row r="52" spans="38:53" x14ac:dyDescent="0.3">
      <c r="AL52" s="75"/>
      <c r="AM52" s="3" t="s">
        <v>334</v>
      </c>
      <c r="AN52" s="68"/>
      <c r="AO52" s="68"/>
      <c r="AP52" s="68"/>
      <c r="AQ52" s="44"/>
      <c r="AR52" s="44"/>
      <c r="AS52" s="44"/>
      <c r="AT52" s="44"/>
      <c r="AU52" s="44"/>
      <c r="AV52" s="66" t="s">
        <v>335</v>
      </c>
      <c r="AW52" s="68" t="s">
        <v>336</v>
      </c>
      <c r="AX52" s="18" t="str">
        <f>TEXT(0,"00")</f>
        <v>00</v>
      </c>
      <c r="AY52" s="136" t="str">
        <f>MID($O17,1,2)</f>
        <v>00</v>
      </c>
      <c r="AZ52" s="68"/>
      <c r="BA52" s="44"/>
    </row>
    <row r="53" spans="38:53" x14ac:dyDescent="0.3">
      <c r="AL53" s="138" t="s">
        <v>337</v>
      </c>
      <c r="AM53" s="90" t="s">
        <v>338</v>
      </c>
      <c r="AN53" s="70" t="s">
        <v>96</v>
      </c>
      <c r="AO53" s="88" t="str">
        <f>MID($W5,1,8)</f>
        <v>00101101</v>
      </c>
      <c r="AP53" s="68"/>
      <c r="AQ53" s="44"/>
      <c r="AR53" s="44"/>
      <c r="AS53" s="44"/>
      <c r="AT53" s="44"/>
      <c r="AU53" s="44"/>
      <c r="AV53" s="66" t="s">
        <v>339</v>
      </c>
      <c r="AW53" s="68" t="s">
        <v>340</v>
      </c>
      <c r="AX53" s="18" t="str">
        <f>TEXT(2,"00")</f>
        <v>02</v>
      </c>
      <c r="AY53" s="136" t="str">
        <f>MID($P17,1,2)</f>
        <v>02</v>
      </c>
      <c r="AZ53" s="68"/>
      <c r="BA53" s="44"/>
    </row>
    <row r="54" spans="38:53" x14ac:dyDescent="0.3">
      <c r="AL54" s="138" t="s">
        <v>341</v>
      </c>
      <c r="AM54" s="90" t="s">
        <v>342</v>
      </c>
      <c r="AN54" s="70" t="s">
        <v>96</v>
      </c>
      <c r="AO54" s="88" t="str">
        <f>MID($X5,1,8)</f>
        <v>10010000</v>
      </c>
      <c r="AP54" s="68"/>
      <c r="AQ54" s="44"/>
      <c r="AR54" s="44"/>
      <c r="AS54" s="44"/>
      <c r="AT54" s="44"/>
      <c r="AU54" s="44"/>
      <c r="AV54" s="66" t="s">
        <v>343</v>
      </c>
      <c r="AW54" s="68" t="s">
        <v>344</v>
      </c>
      <c r="AX54" s="18" t="str">
        <f>TEXT(8,"00")</f>
        <v>08</v>
      </c>
      <c r="AY54" s="136" t="str">
        <f>MID($Q17,1,2)</f>
        <v>0a</v>
      </c>
      <c r="AZ54" s="68"/>
      <c r="BA54" s="44"/>
    </row>
    <row r="55" spans="38:53" x14ac:dyDescent="0.3">
      <c r="AL55" s="138" t="s">
        <v>345</v>
      </c>
      <c r="AM55" s="90" t="s">
        <v>346</v>
      </c>
      <c r="AN55" s="70" t="s">
        <v>96</v>
      </c>
      <c r="AO55" s="88" t="str">
        <f>MID($Y5,1,8)</f>
        <v>00000000</v>
      </c>
      <c r="AP55" s="68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</row>
    <row r="56" spans="38:53" x14ac:dyDescent="0.3">
      <c r="AL56" s="138" t="s">
        <v>347</v>
      </c>
      <c r="AM56" s="90" t="s">
        <v>348</v>
      </c>
      <c r="AN56" s="70" t="s">
        <v>96</v>
      </c>
      <c r="AO56" s="88" t="str">
        <f>MID($Z5,1,8)</f>
        <v>00000000</v>
      </c>
      <c r="AP56" s="68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</row>
    <row r="57" spans="38:53" x14ac:dyDescent="0.3">
      <c r="AL57" s="60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</row>
    <row r="58" spans="38:53" x14ac:dyDescent="0.3">
      <c r="AL58" s="75"/>
      <c r="AM58" s="3" t="s">
        <v>349</v>
      </c>
      <c r="AN58" s="4" t="s">
        <v>19</v>
      </c>
      <c r="AO58" s="4" t="s">
        <v>2</v>
      </c>
      <c r="AP58" s="68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</row>
    <row r="59" spans="38:53" x14ac:dyDescent="0.3">
      <c r="AL59" s="75" t="s">
        <v>350</v>
      </c>
      <c r="AM59" s="68" t="s">
        <v>351</v>
      </c>
      <c r="AN59" s="68">
        <v>1</v>
      </c>
      <c r="AO59" s="70" t="str">
        <f>MID(AC5,1,1)</f>
        <v>1</v>
      </c>
      <c r="AP59" s="69"/>
      <c r="AQ59" s="44" t="s">
        <v>352</v>
      </c>
      <c r="AR59" s="44"/>
      <c r="AS59" s="44"/>
      <c r="AT59" s="44"/>
      <c r="AU59" s="44"/>
      <c r="AV59" s="44"/>
      <c r="AW59" s="44"/>
      <c r="AX59" s="44"/>
      <c r="AY59" s="44"/>
      <c r="AZ59" s="44"/>
      <c r="BA59" s="44"/>
    </row>
    <row r="60" spans="38:53" x14ac:dyDescent="0.3">
      <c r="AL60" s="75" t="s">
        <v>353</v>
      </c>
      <c r="AM60" s="68" t="s">
        <v>354</v>
      </c>
      <c r="AN60" s="68">
        <v>1</v>
      </c>
      <c r="AO60" s="70" t="str">
        <f>MID(AC5,2,1)</f>
        <v>1</v>
      </c>
      <c r="AP60" s="69"/>
      <c r="AQ60" s="44" t="s">
        <v>355</v>
      </c>
      <c r="AR60" s="44"/>
      <c r="AS60" s="44"/>
      <c r="AT60" s="44"/>
      <c r="AU60" s="44"/>
      <c r="AV60" s="44"/>
      <c r="AW60" s="44"/>
      <c r="AX60" s="44"/>
      <c r="AY60" s="44"/>
      <c r="AZ60" s="44"/>
      <c r="BA60" s="44"/>
    </row>
    <row r="61" spans="38:53" x14ac:dyDescent="0.3">
      <c r="AL61" s="75" t="s">
        <v>356</v>
      </c>
      <c r="AM61" s="68" t="s">
        <v>357</v>
      </c>
      <c r="AN61" s="68">
        <v>1</v>
      </c>
      <c r="AO61" s="70" t="str">
        <f>MID(AC5,3,1)</f>
        <v>1</v>
      </c>
      <c r="AP61" s="35" t="str">
        <f>IF(BIN2DEC(AO61)=1,"pin[F9] stable","!!!!pin[F9] ERROR!!!")</f>
        <v>pin[F9] stable</v>
      </c>
      <c r="AQ61" s="60" t="s">
        <v>358</v>
      </c>
      <c r="AR61" s="44"/>
      <c r="AS61" s="44"/>
      <c r="AT61" s="44"/>
      <c r="AU61" s="44"/>
      <c r="AV61" s="44"/>
      <c r="AW61" s="44"/>
      <c r="AX61" s="44"/>
      <c r="AY61" s="44"/>
      <c r="AZ61" s="44"/>
      <c r="BA61" s="44"/>
    </row>
    <row r="62" spans="38:53" x14ac:dyDescent="0.3">
      <c r="AL62" s="75" t="s">
        <v>359</v>
      </c>
      <c r="AM62" s="68" t="s">
        <v>360</v>
      </c>
      <c r="AN62" s="68">
        <v>1</v>
      </c>
      <c r="AO62" s="70" t="str">
        <f>MID(AC5,4,1)</f>
        <v>1</v>
      </c>
      <c r="AP62" s="35" t="str">
        <f>IF(BIN2DEC(AO62)=1,"pin[L6] stable","!!!!pin[L6] ERROR!!!")</f>
        <v>pin[L6] stable</v>
      </c>
      <c r="AQ62" s="60" t="s">
        <v>361</v>
      </c>
      <c r="AR62" s="44"/>
      <c r="AS62" s="44"/>
      <c r="AT62" s="44"/>
      <c r="AU62" s="44"/>
      <c r="AV62" s="44"/>
      <c r="AW62" s="44"/>
      <c r="AX62" s="44"/>
      <c r="AY62" s="44"/>
      <c r="AZ62" s="44"/>
      <c r="BA62" s="44"/>
    </row>
    <row r="63" spans="38:53" x14ac:dyDescent="0.3">
      <c r="AL63" s="75" t="s">
        <v>362</v>
      </c>
      <c r="AM63" s="68" t="s">
        <v>363</v>
      </c>
      <c r="AN63" s="70" t="str">
        <f>IF(AY9="01","1","0")</f>
        <v>0</v>
      </c>
      <c r="AO63" s="70" t="str">
        <f>MID(AC5,5,1)</f>
        <v>0</v>
      </c>
      <c r="AP63" s="104"/>
      <c r="AQ63" s="60" t="s">
        <v>364</v>
      </c>
      <c r="AR63" s="44"/>
      <c r="AS63" s="44"/>
      <c r="AT63" s="44"/>
      <c r="AU63" s="44"/>
      <c r="AV63" s="44"/>
      <c r="AW63" s="44"/>
      <c r="AX63" s="44"/>
      <c r="AY63" s="44"/>
      <c r="AZ63" s="44"/>
      <c r="BA63" s="44"/>
    </row>
    <row r="64" spans="38:53" x14ac:dyDescent="0.3">
      <c r="AL64" s="75" t="s">
        <v>365</v>
      </c>
      <c r="AM64" s="68" t="s">
        <v>366</v>
      </c>
      <c r="AN64" s="70" t="str">
        <f>IF(AY9="01","1","0")</f>
        <v>0</v>
      </c>
      <c r="AO64" s="70" t="str">
        <f>MID(AC5,6,1)</f>
        <v>0</v>
      </c>
      <c r="AP64" s="104"/>
      <c r="AQ64" s="60" t="s">
        <v>367</v>
      </c>
      <c r="AR64" s="44"/>
      <c r="AS64" s="44"/>
      <c r="AT64" s="44"/>
      <c r="AU64" s="44"/>
      <c r="AV64" s="44"/>
      <c r="AW64" s="44"/>
      <c r="AX64" s="44"/>
      <c r="AY64" s="44"/>
      <c r="AZ64" s="44"/>
      <c r="BA64" s="44"/>
    </row>
    <row r="65" spans="38:43" x14ac:dyDescent="0.3">
      <c r="AL65" s="75" t="s">
        <v>368</v>
      </c>
      <c r="AM65" s="68" t="s">
        <v>369</v>
      </c>
      <c r="AN65" s="70" t="str">
        <f>IF(AY9="01","1","0")</f>
        <v>0</v>
      </c>
      <c r="AO65" s="70" t="str">
        <f>MID(AC5,7,1)</f>
        <v>0</v>
      </c>
      <c r="AP65" s="35" t="str">
        <f>IF(BIN2DEC(AO65)=1,"pin[V11] stable","!!!!no vpdb!!!")</f>
        <v>!!!!no vpdb!!!</v>
      </c>
      <c r="AQ65" s="60" t="s">
        <v>370</v>
      </c>
    </row>
    <row r="66" spans="38:43" x14ac:dyDescent="0.3">
      <c r="AL66" s="75" t="s">
        <v>371</v>
      </c>
      <c r="AM66" s="68" t="s">
        <v>372</v>
      </c>
      <c r="AN66" s="70" t="str">
        <f>IF(AY9="01","1","0")</f>
        <v>0</v>
      </c>
      <c r="AO66" s="70" t="str">
        <f>MID(AC5,8,1)</f>
        <v>0</v>
      </c>
      <c r="AP66" s="35" t="str">
        <f>IF(BIN2DEC(AO66)=1,"pin[V11] stable","!!!!no vpdb!!!")</f>
        <v>!!!!no vpdb!!!</v>
      </c>
      <c r="AQ66" s="60" t="s">
        <v>373</v>
      </c>
    </row>
    <row r="67" spans="38:43" x14ac:dyDescent="0.3">
      <c r="AL67" s="60"/>
      <c r="AM67" s="44"/>
      <c r="AN67" s="44"/>
      <c r="AO67" s="44"/>
      <c r="AP67" s="44"/>
      <c r="AQ67" s="44"/>
    </row>
    <row r="68" spans="38:43" x14ac:dyDescent="0.3">
      <c r="AL68" s="75"/>
      <c r="AM68" s="3" t="s">
        <v>374</v>
      </c>
      <c r="AN68" s="68"/>
      <c r="AO68" s="68"/>
      <c r="AP68" s="68"/>
      <c r="AQ68" s="44"/>
    </row>
    <row r="69" spans="38:43" x14ac:dyDescent="0.3">
      <c r="AL69" s="144" t="s">
        <v>375</v>
      </c>
      <c r="AM69" s="71"/>
      <c r="AN69" s="70"/>
      <c r="AO69" s="70" t="str">
        <f>MID(S6,1,8)</f>
        <v>00010000</v>
      </c>
      <c r="AP69" s="68"/>
      <c r="AQ69" s="44"/>
    </row>
    <row r="70" spans="38:43" x14ac:dyDescent="0.3">
      <c r="AL70" s="145" t="s">
        <v>376</v>
      </c>
      <c r="AM70" s="68" t="s">
        <v>377</v>
      </c>
      <c r="AN70" s="70" t="s">
        <v>96</v>
      </c>
      <c r="AO70" s="70" t="str">
        <f>MID(AO69,1,1)</f>
        <v>0</v>
      </c>
      <c r="AP70" s="68"/>
      <c r="AQ70" s="44"/>
    </row>
    <row r="71" spans="38:43" x14ac:dyDescent="0.3">
      <c r="AL71" s="31" t="s">
        <v>181</v>
      </c>
      <c r="AM71" s="68" t="s">
        <v>378</v>
      </c>
      <c r="AN71" s="70" t="s">
        <v>96</v>
      </c>
      <c r="AO71" s="70" t="str">
        <f>MID(AO69,6,1)</f>
        <v>0</v>
      </c>
      <c r="AP71" s="68"/>
      <c r="AQ71" s="44"/>
    </row>
    <row r="72" spans="38:43" x14ac:dyDescent="0.3">
      <c r="AL72" s="31" t="s">
        <v>188</v>
      </c>
      <c r="AM72" s="68" t="s">
        <v>379</v>
      </c>
      <c r="AN72" s="70" t="s">
        <v>96</v>
      </c>
      <c r="AO72" s="70" t="str">
        <f>MID(AO69,7,1)</f>
        <v>0</v>
      </c>
      <c r="AP72" s="68"/>
      <c r="AQ72" s="44"/>
    </row>
    <row r="73" spans="38:43" x14ac:dyDescent="0.3">
      <c r="AL73" s="143" t="s">
        <v>380</v>
      </c>
      <c r="AM73" s="71" t="s">
        <v>381</v>
      </c>
      <c r="AN73" s="70" t="s">
        <v>96</v>
      </c>
      <c r="AO73" s="70" t="str">
        <f>MID(T6,1,8)</f>
        <v>00000000</v>
      </c>
      <c r="AP73" s="68"/>
      <c r="AQ73" s="44"/>
    </row>
    <row r="75" spans="38:43" x14ac:dyDescent="0.3">
      <c r="AL75" s="68"/>
      <c r="AM75" s="3" t="s">
        <v>382</v>
      </c>
      <c r="AN75" s="4"/>
      <c r="AO75" s="99"/>
      <c r="AP75" s="68"/>
      <c r="AQ75" s="44"/>
    </row>
    <row r="76" spans="38:43" x14ac:dyDescent="0.3">
      <c r="AL76" s="97" t="s">
        <v>383</v>
      </c>
      <c r="AM76" s="68" t="s">
        <v>384</v>
      </c>
      <c r="AN76" s="70" t="s">
        <v>96</v>
      </c>
      <c r="AO76" s="100" t="s">
        <v>96</v>
      </c>
      <c r="AP76" s="68"/>
      <c r="AQ76" s="44"/>
    </row>
    <row r="77" spans="38:43" x14ac:dyDescent="0.3">
      <c r="AL77" s="89" t="s">
        <v>385</v>
      </c>
      <c r="AM77" s="68" t="s">
        <v>386</v>
      </c>
      <c r="AN77" s="70" t="s">
        <v>96</v>
      </c>
      <c r="AO77" s="100" t="s">
        <v>96</v>
      </c>
      <c r="AP77" s="68"/>
      <c r="AQ77" s="44"/>
    </row>
    <row r="78" spans="38:43" x14ac:dyDescent="0.3">
      <c r="AL78" s="89" t="s">
        <v>387</v>
      </c>
      <c r="AM78" s="68" t="s">
        <v>388</v>
      </c>
      <c r="AN78" s="70" t="s">
        <v>96</v>
      </c>
      <c r="AO78" s="100" t="s">
        <v>96</v>
      </c>
      <c r="AP78" s="68"/>
      <c r="AQ78" s="44"/>
    </row>
    <row r="79" spans="38:43" x14ac:dyDescent="0.3">
      <c r="AL79" s="89" t="s">
        <v>389</v>
      </c>
      <c r="AM79" s="68" t="s">
        <v>390</v>
      </c>
      <c r="AN79" s="70" t="s">
        <v>96</v>
      </c>
      <c r="AO79" s="100" t="s">
        <v>96</v>
      </c>
      <c r="AP79" s="68"/>
      <c r="AQ79" s="44"/>
    </row>
  </sheetData>
  <mergeCells count="2">
    <mergeCell ref="A20:M20"/>
    <mergeCell ref="AN10:AP10"/>
  </mergeCells>
  <phoneticPr fontId="4" type="noConversion"/>
  <conditionalFormatting sqref="AN5:AO5">
    <cfRule type="uniqueValues" dxfId="745" priority="250"/>
  </conditionalFormatting>
  <conditionalFormatting sqref="AN6:AO6">
    <cfRule type="uniqueValues" dxfId="744" priority="249"/>
  </conditionalFormatting>
  <conditionalFormatting sqref="AN11:AO11">
    <cfRule type="uniqueValues" dxfId="743" priority="119"/>
  </conditionalFormatting>
  <conditionalFormatting sqref="AN12:AO12">
    <cfRule type="uniqueValues" dxfId="742" priority="3"/>
    <cfRule type="uniqueValues" dxfId="741" priority="11"/>
  </conditionalFormatting>
  <conditionalFormatting sqref="AN13:AO13">
    <cfRule type="uniqueValues" dxfId="740" priority="2"/>
    <cfRule type="uniqueValues" dxfId="739" priority="10"/>
  </conditionalFormatting>
  <conditionalFormatting sqref="AN14:AO14">
    <cfRule type="uniqueValues" dxfId="738" priority="1"/>
    <cfRule type="uniqueValues" dxfId="737" priority="9"/>
  </conditionalFormatting>
  <conditionalFormatting sqref="AN15:AO15">
    <cfRule type="uniqueValues" dxfId="736" priority="8"/>
  </conditionalFormatting>
  <conditionalFormatting sqref="AN16:AO16">
    <cfRule type="uniqueValues" dxfId="735" priority="7"/>
  </conditionalFormatting>
  <conditionalFormatting sqref="AN17:AO17">
    <cfRule type="uniqueValues" dxfId="734" priority="6"/>
  </conditionalFormatting>
  <conditionalFormatting sqref="AN18:AO18">
    <cfRule type="uniqueValues" dxfId="733" priority="5"/>
  </conditionalFormatting>
  <conditionalFormatting sqref="AN19:AO19">
    <cfRule type="uniqueValues" dxfId="732" priority="4"/>
  </conditionalFormatting>
  <conditionalFormatting sqref="AN20:AO20">
    <cfRule type="uniqueValues" dxfId="731" priority="107"/>
  </conditionalFormatting>
  <conditionalFormatting sqref="AN21:AO21">
    <cfRule type="uniqueValues" dxfId="730" priority="14"/>
    <cfRule type="uniqueValues" dxfId="729" priority="22"/>
  </conditionalFormatting>
  <conditionalFormatting sqref="AN22:AO22">
    <cfRule type="uniqueValues" dxfId="728" priority="13"/>
    <cfRule type="uniqueValues" dxfId="727" priority="21"/>
  </conditionalFormatting>
  <conditionalFormatting sqref="AN23:AO23">
    <cfRule type="uniqueValues" dxfId="726" priority="12"/>
    <cfRule type="uniqueValues" dxfId="725" priority="20"/>
  </conditionalFormatting>
  <conditionalFormatting sqref="AN24:AO24">
    <cfRule type="uniqueValues" dxfId="724" priority="19"/>
  </conditionalFormatting>
  <conditionalFormatting sqref="AN25:AO25">
    <cfRule type="uniqueValues" dxfId="723" priority="18"/>
  </conditionalFormatting>
  <conditionalFormatting sqref="AN26:AO26">
    <cfRule type="uniqueValues" dxfId="722" priority="17"/>
  </conditionalFormatting>
  <conditionalFormatting sqref="AN27:AO27">
    <cfRule type="uniqueValues" dxfId="721" priority="16"/>
  </conditionalFormatting>
  <conditionalFormatting sqref="AN28:AO28">
    <cfRule type="uniqueValues" dxfId="720" priority="15"/>
  </conditionalFormatting>
  <conditionalFormatting sqref="AN31:AO31">
    <cfRule type="uniqueValues" dxfId="719" priority="199"/>
  </conditionalFormatting>
  <conditionalFormatting sqref="AN32:AO32">
    <cfRule type="uniqueValues" dxfId="718" priority="226"/>
  </conditionalFormatting>
  <conditionalFormatting sqref="AN33:AO33">
    <cfRule type="uniqueValues" dxfId="717" priority="198"/>
  </conditionalFormatting>
  <conditionalFormatting sqref="AN35:AO35">
    <cfRule type="uniqueValues" dxfId="716" priority="196"/>
  </conditionalFormatting>
  <conditionalFormatting sqref="AN36:AO36">
    <cfRule type="uniqueValues" dxfId="715" priority="195"/>
  </conditionalFormatting>
  <conditionalFormatting sqref="AN39:AO39">
    <cfRule type="uniqueValues" dxfId="714" priority="95"/>
  </conditionalFormatting>
  <conditionalFormatting sqref="AN40:AO40">
    <cfRule type="uniqueValues" dxfId="713" priority="25"/>
    <cfRule type="uniqueValues" dxfId="712" priority="33"/>
  </conditionalFormatting>
  <conditionalFormatting sqref="AN41:AO41">
    <cfRule type="uniqueValues" dxfId="711" priority="24"/>
    <cfRule type="uniqueValues" dxfId="710" priority="32"/>
  </conditionalFormatting>
  <conditionalFormatting sqref="AN42:AO42">
    <cfRule type="uniqueValues" dxfId="709" priority="23"/>
    <cfRule type="uniqueValues" dxfId="708" priority="31"/>
  </conditionalFormatting>
  <conditionalFormatting sqref="AN43:AO43">
    <cfRule type="uniqueValues" dxfId="707" priority="30"/>
  </conditionalFormatting>
  <conditionalFormatting sqref="AN44:AO44">
    <cfRule type="uniqueValues" dxfId="706" priority="29"/>
  </conditionalFormatting>
  <conditionalFormatting sqref="AN45:AO45">
    <cfRule type="uniqueValues" dxfId="705" priority="28"/>
  </conditionalFormatting>
  <conditionalFormatting sqref="AN46:AO46">
    <cfRule type="uniqueValues" dxfId="704" priority="27"/>
  </conditionalFormatting>
  <conditionalFormatting sqref="AN47:AO47">
    <cfRule type="uniqueValues" dxfId="703" priority="26"/>
  </conditionalFormatting>
  <conditionalFormatting sqref="AX4:AY4">
    <cfRule type="uniqueValues" dxfId="702" priority="190"/>
  </conditionalFormatting>
  <conditionalFormatting sqref="AX5:AY5">
    <cfRule type="uniqueValues" dxfId="701" priority="189"/>
  </conditionalFormatting>
  <conditionalFormatting sqref="AX9:AY9">
    <cfRule type="uniqueValues" dxfId="700" priority="187"/>
  </conditionalFormatting>
  <conditionalFormatting sqref="AX10:AY10">
    <cfRule type="uniqueValues" dxfId="699" priority="186"/>
  </conditionalFormatting>
  <conditionalFormatting sqref="AX22:AY22">
    <cfRule type="uniqueValues" dxfId="698" priority="130"/>
    <cfRule type="uniqueValues" dxfId="697" priority="139"/>
  </conditionalFormatting>
  <conditionalFormatting sqref="AX23:AY23">
    <cfRule type="uniqueValues" dxfId="696" priority="129"/>
    <cfRule type="uniqueValues" dxfId="695" priority="138"/>
  </conditionalFormatting>
  <conditionalFormatting sqref="AX24:AY24">
    <cfRule type="uniqueValues" dxfId="694" priority="128"/>
    <cfRule type="uniqueValues" dxfId="693" priority="137"/>
  </conditionalFormatting>
  <conditionalFormatting sqref="AX25:AY25">
    <cfRule type="uniqueValues" dxfId="692" priority="136"/>
  </conditionalFormatting>
  <conditionalFormatting sqref="AX26:AY26">
    <cfRule type="uniqueValues" dxfId="691" priority="135"/>
  </conditionalFormatting>
  <conditionalFormatting sqref="AX27:AY27">
    <cfRule type="uniqueValues" dxfId="690" priority="134"/>
  </conditionalFormatting>
  <conditionalFormatting sqref="AX28:AY28">
    <cfRule type="uniqueValues" dxfId="689" priority="133"/>
  </conditionalFormatting>
  <conditionalFormatting sqref="AX29:AY29">
    <cfRule type="uniqueValues" dxfId="688" priority="132"/>
  </conditionalFormatting>
  <conditionalFormatting sqref="AX32:AY32">
    <cfRule type="uniqueValues" dxfId="687" priority="143"/>
  </conditionalFormatting>
  <conditionalFormatting sqref="AX33:AY33">
    <cfRule type="uniqueValues" dxfId="686" priority="47"/>
    <cfRule type="uniqueValues" dxfId="685" priority="55"/>
  </conditionalFormatting>
  <conditionalFormatting sqref="AX34:AY34">
    <cfRule type="uniqueValues" dxfId="684" priority="46"/>
    <cfRule type="uniqueValues" dxfId="683" priority="54"/>
  </conditionalFormatting>
  <conditionalFormatting sqref="AX35:AY35">
    <cfRule type="uniqueValues" dxfId="682" priority="45"/>
    <cfRule type="uniqueValues" dxfId="681" priority="53"/>
  </conditionalFormatting>
  <conditionalFormatting sqref="AX36:AY36">
    <cfRule type="uniqueValues" dxfId="680" priority="52"/>
  </conditionalFormatting>
  <conditionalFormatting sqref="AX37:AY37">
    <cfRule type="uniqueValues" dxfId="679" priority="51"/>
  </conditionalFormatting>
  <conditionalFormatting sqref="AX38:AY38">
    <cfRule type="uniqueValues" dxfId="678" priority="50"/>
  </conditionalFormatting>
  <conditionalFormatting sqref="AX39:AY39">
    <cfRule type="uniqueValues" dxfId="677" priority="49"/>
  </conditionalFormatting>
  <conditionalFormatting sqref="AX40:AY40">
    <cfRule type="uniqueValues" dxfId="676" priority="48"/>
  </conditionalFormatting>
  <conditionalFormatting sqref="AX41:AY41">
    <cfRule type="uniqueValues" dxfId="675" priority="155"/>
  </conditionalFormatting>
  <conditionalFormatting sqref="AX42:AY42">
    <cfRule type="uniqueValues" dxfId="674" priority="36"/>
    <cfRule type="uniqueValues" dxfId="673" priority="44"/>
  </conditionalFormatting>
  <conditionalFormatting sqref="AX43:AY43">
    <cfRule type="uniqueValues" dxfId="672" priority="35"/>
    <cfRule type="uniqueValues" dxfId="671" priority="43"/>
  </conditionalFormatting>
  <conditionalFormatting sqref="AX44:AY44">
    <cfRule type="uniqueValues" dxfId="670" priority="34"/>
    <cfRule type="uniqueValues" dxfId="669" priority="42"/>
  </conditionalFormatting>
  <conditionalFormatting sqref="AX45:AY45">
    <cfRule type="uniqueValues" dxfId="668" priority="41"/>
  </conditionalFormatting>
  <conditionalFormatting sqref="AX46:AY46">
    <cfRule type="uniqueValues" dxfId="667" priority="40"/>
  </conditionalFormatting>
  <conditionalFormatting sqref="AX47:AY47">
    <cfRule type="uniqueValues" dxfId="666" priority="39"/>
  </conditionalFormatting>
  <conditionalFormatting sqref="AX48:AY48">
    <cfRule type="uniqueValues" dxfId="665" priority="38"/>
  </conditionalFormatting>
  <conditionalFormatting sqref="AX49:AY49">
    <cfRule type="uniqueValues" dxfId="664" priority="37"/>
  </conditionalFormatting>
  <conditionalFormatting sqref="AX51:AY51">
    <cfRule type="uniqueValues" dxfId="663" priority="239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5168-908E-4499-90B3-C34CFBE68CD6}">
  <dimension ref="A1:BM132"/>
  <sheetViews>
    <sheetView topLeftCell="S1" zoomScale="70" zoomScaleNormal="70" workbookViewId="0">
      <selection activeCell="AT81" sqref="AT81"/>
    </sheetView>
  </sheetViews>
  <sheetFormatPr defaultColWidth="9.09765625" defaultRowHeight="14.5" x14ac:dyDescent="0.3"/>
  <cols>
    <col min="1" max="1" width="9.09765625" style="27"/>
    <col min="2" max="2" width="5.09765625" style="27" customWidth="1"/>
    <col min="3" max="4" width="4.3984375" style="27" customWidth="1"/>
    <col min="5" max="18" width="3.69921875" style="27" customWidth="1"/>
    <col min="19" max="29" width="9.09765625" style="27" bestFit="1" customWidth="1"/>
    <col min="30" max="30" width="9.69921875" style="27" customWidth="1"/>
    <col min="31" max="32" width="9.09765625" style="27" bestFit="1" customWidth="1"/>
    <col min="33" max="33" width="10" style="27" customWidth="1"/>
    <col min="34" max="34" width="9.09765625" style="27" customWidth="1"/>
    <col min="35" max="35" width="9.59765625" style="27" customWidth="1"/>
    <col min="36" max="36" width="8.69921875" style="27" customWidth="1"/>
    <col min="37" max="37" width="7.8984375" style="27" customWidth="1"/>
    <col min="38" max="38" width="10.8984375" style="27" customWidth="1"/>
    <col min="39" max="39" width="46.3984375" style="27" customWidth="1"/>
    <col min="40" max="42" width="10.09765625" style="27" customWidth="1"/>
    <col min="43" max="43" width="8.69921875" style="27" customWidth="1"/>
    <col min="44" max="44" width="9.69921875" style="27" customWidth="1"/>
    <col min="45" max="45" width="13.3984375" style="27" customWidth="1"/>
    <col min="46" max="46" width="19.8984375" style="27" customWidth="1"/>
    <col min="47" max="47" width="25" style="27" customWidth="1"/>
    <col min="48" max="48" width="4.69921875" style="27" customWidth="1"/>
    <col min="49" max="49" width="10.09765625" style="27" customWidth="1"/>
    <col min="50" max="50" width="11.59765625" style="27" customWidth="1"/>
    <col min="51" max="51" width="15.09765625" style="27" customWidth="1"/>
    <col min="52" max="52" width="14.8984375" style="27" customWidth="1"/>
    <col min="53" max="53" width="12.69921875" style="27" customWidth="1"/>
    <col min="54" max="54" width="11" style="27" customWidth="1"/>
    <col min="55" max="55" width="5.09765625" style="27" customWidth="1"/>
    <col min="56" max="56" width="5.59765625" style="27" customWidth="1"/>
    <col min="57" max="57" width="4.296875" style="27" customWidth="1"/>
    <col min="58" max="58" width="5.59765625" style="27" customWidth="1"/>
    <col min="59" max="59" width="10.3984375" style="27" customWidth="1"/>
    <col min="60" max="60" width="11.8984375" style="27" customWidth="1"/>
    <col min="61" max="61" width="13.296875" style="27" customWidth="1"/>
    <col min="62" max="62" width="11.69921875" style="27" customWidth="1"/>
    <col min="63" max="63" width="10.296875" style="27" customWidth="1"/>
    <col min="64" max="64" width="10.09765625" style="27" customWidth="1"/>
    <col min="65" max="75" width="2.69921875" style="27" customWidth="1"/>
    <col min="76" max="16384" width="9.09765625" style="27"/>
  </cols>
  <sheetData>
    <row r="1" spans="1:65" ht="17" x14ac:dyDescent="0.4">
      <c r="A1" s="52" t="s">
        <v>68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5" t="s">
        <v>69</v>
      </c>
      <c r="M1" s="25" t="s">
        <v>70</v>
      </c>
      <c r="N1" s="25" t="s">
        <v>71</v>
      </c>
      <c r="O1" s="25" t="s">
        <v>72</v>
      </c>
      <c r="P1" s="25" t="s">
        <v>73</v>
      </c>
      <c r="Q1" s="25" t="s">
        <v>74</v>
      </c>
      <c r="R1" s="53"/>
      <c r="S1" s="24">
        <v>0</v>
      </c>
      <c r="T1" s="24">
        <v>1</v>
      </c>
      <c r="U1" s="24">
        <v>2</v>
      </c>
      <c r="V1" s="24">
        <v>3</v>
      </c>
      <c r="W1" s="24">
        <v>4</v>
      </c>
      <c r="X1" s="24">
        <v>5</v>
      </c>
      <c r="Y1" s="24">
        <v>6</v>
      </c>
      <c r="Z1" s="24">
        <v>7</v>
      </c>
      <c r="AA1" s="24">
        <v>8</v>
      </c>
      <c r="AB1" s="24">
        <v>9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</row>
    <row r="2" spans="1:65" x14ac:dyDescent="0.3">
      <c r="A2" s="26">
        <v>0</v>
      </c>
      <c r="B2" s="47" t="str">
        <f>MID($A22,5,2)</f>
        <v>36</v>
      </c>
      <c r="C2" s="47" t="str">
        <f>MID($A22,8,2)</f>
        <v>01</v>
      </c>
      <c r="D2" s="47" t="str">
        <f>MID($A22,11,2)</f>
        <v>01</v>
      </c>
      <c r="E2" s="47" t="str">
        <f>MID($A22,14,2)</f>
        <v>0f</v>
      </c>
      <c r="F2" s="47" t="str">
        <f>MID($A22,17,2)</f>
        <v>03</v>
      </c>
      <c r="G2" s="47" t="str">
        <f>MID($A22,20,2)</f>
        <v>00</v>
      </c>
      <c r="H2" s="47" t="str">
        <f>MID($A22,23,2)</f>
        <v>00</v>
      </c>
      <c r="I2" s="47" t="str">
        <f>MID($A22,26,2)</f>
        <v>00</v>
      </c>
      <c r="J2" s="47" t="str">
        <f>MID($A22,29,2)</f>
        <v>86</v>
      </c>
      <c r="K2" s="47" t="str">
        <f>MID($A22,32,2)</f>
        <v>cd</v>
      </c>
      <c r="L2" s="47" t="str">
        <f>MID($A22,35,2)</f>
        <v>09</v>
      </c>
      <c r="M2" s="47" t="str">
        <f>MID($A22,38,2)</f>
        <v>ff</v>
      </c>
      <c r="N2" s="47" t="str">
        <f>MID($A22,41,2)</f>
        <v>1b</v>
      </c>
      <c r="O2" s="47" t="str">
        <f>MID($A22,44,2)</f>
        <v>00</v>
      </c>
      <c r="P2" s="47" t="str">
        <f>MID($A22,47,2)</f>
        <v>00</v>
      </c>
      <c r="Q2" s="47" t="str">
        <f>MID($A22,50,2)</f>
        <v>00</v>
      </c>
      <c r="R2" s="53"/>
      <c r="S2" s="47" t="str">
        <f t="shared" ref="S2:S7" si="0">TEXT(HEX2BIN(B2),"00000000")</f>
        <v>00110110</v>
      </c>
      <c r="T2" s="47" t="str">
        <f t="shared" ref="T2:Y6" si="1">TEXT(HEX2BIN(C2),"00000000")</f>
        <v>00000001</v>
      </c>
      <c r="U2" s="47" t="str">
        <f t="shared" si="1"/>
        <v>00000001</v>
      </c>
      <c r="V2" s="47" t="str">
        <f t="shared" si="1"/>
        <v>00001111</v>
      </c>
      <c r="W2" s="47" t="str">
        <f t="shared" si="1"/>
        <v>00000011</v>
      </c>
      <c r="X2" s="47" t="str">
        <f t="shared" si="1"/>
        <v>00000000</v>
      </c>
      <c r="Y2" s="47" t="str">
        <f t="shared" si="1"/>
        <v>00000000</v>
      </c>
      <c r="Z2" s="47" t="str">
        <f>TEXT(HEX2BIN(I2),"00000000")</f>
        <v>00000000</v>
      </c>
      <c r="AA2" s="47" t="str">
        <f t="shared" ref="AA2:AA6" si="2">TEXT(HEX2BIN(J2),"00000000")</f>
        <v>10000110</v>
      </c>
      <c r="AB2" s="47" t="str">
        <f t="shared" ref="AB2:AB6" si="3">TEXT(HEX2BIN(K2),"00000000")</f>
        <v>11001101</v>
      </c>
      <c r="AC2" s="47" t="str">
        <f t="shared" ref="AC2:AC6" si="4">TEXT(HEX2BIN(L2),"00000000")</f>
        <v>00001001</v>
      </c>
      <c r="AD2" s="47" t="str">
        <f t="shared" ref="AD2:AE6" si="5">TEXT(HEX2BIN(M2),"00000000")</f>
        <v>11111111</v>
      </c>
      <c r="AE2" s="47" t="str">
        <f t="shared" si="5"/>
        <v>00011011</v>
      </c>
      <c r="AF2" s="47" t="str">
        <f t="shared" ref="AF2:AF6" si="6">TEXT(HEX2BIN(O2),"00000000")</f>
        <v>00000000</v>
      </c>
      <c r="AG2" s="47" t="str">
        <f t="shared" ref="AG2:AG6" si="7">TEXT(HEX2BIN(P2),"00000000")</f>
        <v>00000000</v>
      </c>
      <c r="AH2" s="47" t="str">
        <f t="shared" ref="AH2:AH6" si="8">TEXT(HEX2BIN(Q2),"00000000")</f>
        <v>00000000</v>
      </c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172" t="s">
        <v>391</v>
      </c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4"/>
    </row>
    <row r="3" spans="1:65" x14ac:dyDescent="0.3">
      <c r="A3" s="26">
        <v>10</v>
      </c>
      <c r="B3" s="47" t="str">
        <f t="shared" ref="B3:B17" si="9">MID($A23,5,2)</f>
        <v>bf</v>
      </c>
      <c r="C3" s="47" t="str">
        <f t="shared" ref="C3:C17" si="10">MID($A23,8,2)</f>
        <v>be</v>
      </c>
      <c r="D3" s="47" t="str">
        <f t="shared" ref="D3:D17" si="11">MID($A23,11,2)</f>
        <v>eb</v>
      </c>
      <c r="E3" s="47" t="str">
        <f t="shared" ref="E3:E17" si="12">MID($A23,14,2)</f>
        <v>f8</v>
      </c>
      <c r="F3" s="47" t="str">
        <f t="shared" ref="F3:F17" si="13">MID($A23,17,2)</f>
        <v>ff</v>
      </c>
      <c r="G3" s="47" t="str">
        <f t="shared" ref="G3:G17" si="14">MID($A23,20,2)</f>
        <v>ff</v>
      </c>
      <c r="H3" s="47" t="str">
        <f t="shared" ref="H3:H17" si="15">MID($A23,23,2)</f>
        <v>ff</v>
      </c>
      <c r="I3" s="47" t="str">
        <f t="shared" ref="I3:I17" si="16">MID($A23,26,2)</f>
        <v>f7</v>
      </c>
      <c r="J3" s="47" t="str">
        <f t="shared" ref="J3:J17" si="17">MID($A23,29,2)</f>
        <v>9f</v>
      </c>
      <c r="K3" s="47" t="str">
        <f t="shared" ref="K3:K17" si="18">MID($A23,32,2)</f>
        <v>0f</v>
      </c>
      <c r="L3" s="47" t="str">
        <f t="shared" ref="L3:L17" si="19">MID($A23,35,2)</f>
        <v>00</v>
      </c>
      <c r="M3" s="47" t="str">
        <f t="shared" ref="M3:M17" si="20">MID($A23,38,2)</f>
        <v>00</v>
      </c>
      <c r="N3" s="47" t="str">
        <f t="shared" ref="N3:N17" si="21">MID($A23,41,2)</f>
        <v>00</v>
      </c>
      <c r="O3" s="47" t="str">
        <f t="shared" ref="O3:O17" si="22">MID($A23,44,2)</f>
        <v>00</v>
      </c>
      <c r="P3" s="47" t="str">
        <f t="shared" ref="P3:P17" si="23">MID($A23,47,2)</f>
        <v>00</v>
      </c>
      <c r="Q3" s="47" t="str">
        <f t="shared" ref="Q3:Q17" si="24">MID($A23,50,2)</f>
        <v>00</v>
      </c>
      <c r="R3" s="54"/>
      <c r="S3" s="47" t="str">
        <f t="shared" si="0"/>
        <v>10111111</v>
      </c>
      <c r="T3" s="47" t="str">
        <f t="shared" si="1"/>
        <v>10111110</v>
      </c>
      <c r="U3" s="47" t="str">
        <f t="shared" si="1"/>
        <v>11101011</v>
      </c>
      <c r="V3" s="47" t="str">
        <f t="shared" si="1"/>
        <v>11111000</v>
      </c>
      <c r="W3" s="47" t="str">
        <f t="shared" si="1"/>
        <v>11111111</v>
      </c>
      <c r="X3" s="47" t="str">
        <f t="shared" si="1"/>
        <v>11111111</v>
      </c>
      <c r="Y3" s="47" t="str">
        <f t="shared" si="1"/>
        <v>11111111</v>
      </c>
      <c r="Z3" s="47" t="str">
        <f t="shared" ref="Z3:Z6" si="25">TEXT(HEX2BIN(I3),"00000000")</f>
        <v>11110111</v>
      </c>
      <c r="AA3" s="47" t="str">
        <f t="shared" si="2"/>
        <v>10011111</v>
      </c>
      <c r="AB3" s="47" t="str">
        <f t="shared" si="3"/>
        <v>00001111</v>
      </c>
      <c r="AC3" s="47" t="str">
        <f t="shared" si="4"/>
        <v>00000000</v>
      </c>
      <c r="AD3" s="47" t="str">
        <f t="shared" si="5"/>
        <v>00000000</v>
      </c>
      <c r="AE3" s="47" t="str">
        <f t="shared" si="5"/>
        <v>00000000</v>
      </c>
      <c r="AF3" s="47" t="str">
        <f t="shared" si="6"/>
        <v>00000000</v>
      </c>
      <c r="AG3" s="47" t="str">
        <f t="shared" si="7"/>
        <v>00000000</v>
      </c>
      <c r="AH3" s="47" t="str">
        <f t="shared" si="8"/>
        <v>00000000</v>
      </c>
      <c r="AI3" s="51"/>
      <c r="AJ3" s="44"/>
      <c r="AK3" s="44"/>
      <c r="AL3" s="55"/>
      <c r="AM3" s="92" t="s">
        <v>75</v>
      </c>
      <c r="AN3" s="55"/>
      <c r="AO3" s="90"/>
      <c r="AP3" s="68"/>
      <c r="AQ3" s="44"/>
      <c r="AR3" s="44"/>
      <c r="AS3" s="44"/>
      <c r="AT3" s="44"/>
      <c r="AU3" s="44"/>
      <c r="AV3" s="56"/>
      <c r="AW3" s="55"/>
      <c r="AX3" s="176" t="s">
        <v>75</v>
      </c>
      <c r="AY3" s="176"/>
      <c r="AZ3" s="176"/>
      <c r="BA3" s="1" t="s">
        <v>19</v>
      </c>
      <c r="BB3" s="1" t="s">
        <v>2</v>
      </c>
      <c r="BC3" s="44"/>
      <c r="BD3" s="44"/>
      <c r="BE3" s="44"/>
      <c r="BF3" s="44"/>
      <c r="BG3" s="55"/>
      <c r="BH3" s="176" t="s">
        <v>75</v>
      </c>
      <c r="BI3" s="176"/>
      <c r="BJ3" s="176"/>
      <c r="BK3" s="1" t="s">
        <v>19</v>
      </c>
      <c r="BL3" s="1" t="s">
        <v>2</v>
      </c>
      <c r="BM3" s="57"/>
    </row>
    <row r="4" spans="1:65" x14ac:dyDescent="0.3">
      <c r="A4" s="26">
        <v>20</v>
      </c>
      <c r="B4" s="47" t="str">
        <f t="shared" si="9"/>
        <v>63</v>
      </c>
      <c r="C4" s="47" t="str">
        <f t="shared" si="10"/>
        <v>4c</v>
      </c>
      <c r="D4" s="47" t="str">
        <f t="shared" si="11"/>
        <v>de</v>
      </c>
      <c r="E4" s="47" t="str">
        <f t="shared" si="12"/>
        <v>ce</v>
      </c>
      <c r="F4" s="47" t="str">
        <f t="shared" si="13"/>
        <v>7f</v>
      </c>
      <c r="G4" s="47" t="str">
        <f t="shared" si="14"/>
        <v>0d</v>
      </c>
      <c r="H4" s="47" t="str">
        <f t="shared" si="15"/>
        <v>00</v>
      </c>
      <c r="I4" s="47" t="str">
        <f t="shared" si="16"/>
        <v>00</v>
      </c>
      <c r="J4" s="47" t="str">
        <f t="shared" si="17"/>
        <v>fe</v>
      </c>
      <c r="K4" s="47" t="str">
        <f t="shared" si="18"/>
        <v>1f</v>
      </c>
      <c r="L4" s="47" t="str">
        <f t="shared" si="19"/>
        <v>00</v>
      </c>
      <c r="M4" s="47" t="str">
        <f t="shared" si="20"/>
        <v>00</v>
      </c>
      <c r="N4" s="47" t="str">
        <f t="shared" si="21"/>
        <v>00</v>
      </c>
      <c r="O4" s="47" t="str">
        <f t="shared" si="22"/>
        <v>00</v>
      </c>
      <c r="P4" s="47" t="str">
        <f t="shared" si="23"/>
        <v>00</v>
      </c>
      <c r="Q4" s="47" t="str">
        <f t="shared" si="24"/>
        <v>00</v>
      </c>
      <c r="R4" s="53"/>
      <c r="S4" s="47" t="str">
        <f t="shared" si="0"/>
        <v>01100011</v>
      </c>
      <c r="T4" s="47" t="str">
        <f t="shared" si="1"/>
        <v>01001100</v>
      </c>
      <c r="U4" s="47" t="str">
        <f t="shared" si="1"/>
        <v>11011110</v>
      </c>
      <c r="V4" s="47" t="str">
        <f t="shared" si="1"/>
        <v>11001110</v>
      </c>
      <c r="W4" s="47" t="str">
        <f t="shared" si="1"/>
        <v>01111111</v>
      </c>
      <c r="X4" s="47" t="str">
        <f t="shared" si="1"/>
        <v>00001101</v>
      </c>
      <c r="Y4" s="47" t="str">
        <f t="shared" si="1"/>
        <v>00000000</v>
      </c>
      <c r="Z4" s="47" t="str">
        <f t="shared" si="25"/>
        <v>00000000</v>
      </c>
      <c r="AA4" s="47" t="str">
        <f t="shared" si="2"/>
        <v>11111110</v>
      </c>
      <c r="AB4" s="47" t="str">
        <f t="shared" si="3"/>
        <v>00011111</v>
      </c>
      <c r="AC4" s="47" t="str">
        <f t="shared" si="4"/>
        <v>00000000</v>
      </c>
      <c r="AD4" s="47" t="str">
        <f t="shared" si="5"/>
        <v>00000000</v>
      </c>
      <c r="AE4" s="47" t="str">
        <f t="shared" si="5"/>
        <v>00000000</v>
      </c>
      <c r="AF4" s="47" t="str">
        <f t="shared" si="6"/>
        <v>00000000</v>
      </c>
      <c r="AG4" s="47" t="str">
        <f t="shared" si="7"/>
        <v>00000000</v>
      </c>
      <c r="AH4" s="47" t="str">
        <f t="shared" si="8"/>
        <v>00000000</v>
      </c>
      <c r="AI4" s="44"/>
      <c r="AJ4" s="44"/>
      <c r="AK4" s="44"/>
      <c r="AL4" s="55"/>
      <c r="AM4" s="93" t="s">
        <v>392</v>
      </c>
      <c r="AN4" s="1" t="s">
        <v>19</v>
      </c>
      <c r="AO4" s="98" t="s">
        <v>2</v>
      </c>
      <c r="AP4" s="18" t="s">
        <v>393</v>
      </c>
      <c r="AQ4" s="126"/>
      <c r="AR4" s="44"/>
      <c r="AS4" s="44"/>
      <c r="AT4" s="44"/>
      <c r="AU4" s="44"/>
      <c r="AV4" s="56"/>
      <c r="AW4" s="2" t="s">
        <v>394</v>
      </c>
      <c r="AX4" s="177" t="s">
        <v>395</v>
      </c>
      <c r="AY4" s="177"/>
      <c r="AZ4" s="177"/>
      <c r="BA4" s="58" t="str">
        <f>AN25</f>
        <v>10111111</v>
      </c>
      <c r="BB4" s="58" t="str">
        <f>AO25</f>
        <v>10111111</v>
      </c>
      <c r="BC4" s="44"/>
      <c r="BD4" s="44"/>
      <c r="BE4" s="44"/>
      <c r="BF4" s="44"/>
      <c r="BG4" s="2" t="s">
        <v>396</v>
      </c>
      <c r="BH4" s="177" t="s">
        <v>395</v>
      </c>
      <c r="BI4" s="177"/>
      <c r="BJ4" s="177"/>
      <c r="BK4" s="58" t="str">
        <f>AN36</f>
        <v>01100100</v>
      </c>
      <c r="BL4" s="58" t="str">
        <f>AO36</f>
        <v>01100011</v>
      </c>
      <c r="BM4" s="57"/>
    </row>
    <row r="5" spans="1:65" x14ac:dyDescent="0.3">
      <c r="A5" s="26">
        <v>30</v>
      </c>
      <c r="B5" s="47" t="str">
        <f t="shared" si="9"/>
        <v>00</v>
      </c>
      <c r="C5" s="47" t="str">
        <f t="shared" si="10"/>
        <v>00</v>
      </c>
      <c r="D5" s="47" t="str">
        <f t="shared" si="11"/>
        <v>f9</v>
      </c>
      <c r="E5" s="47" t="str">
        <f t="shared" si="12"/>
        <v>0b</v>
      </c>
      <c r="F5" s="47" t="str">
        <f t="shared" si="13"/>
        <v>00</v>
      </c>
      <c r="G5" s="47" t="str">
        <f t="shared" si="14"/>
        <v>00</v>
      </c>
      <c r="H5" s="47" t="str">
        <f t="shared" si="15"/>
        <v>00</v>
      </c>
      <c r="I5" s="47" t="str">
        <f t="shared" si="16"/>
        <v>00</v>
      </c>
      <c r="J5" s="47" t="str">
        <f t="shared" si="17"/>
        <v>00</v>
      </c>
      <c r="K5" s="47" t="str">
        <f t="shared" si="18"/>
        <v>00</v>
      </c>
      <c r="L5" s="47" t="str">
        <f t="shared" si="19"/>
        <v>00</v>
      </c>
      <c r="M5" s="47" t="str">
        <f t="shared" si="20"/>
        <v>00</v>
      </c>
      <c r="N5" s="47" t="str">
        <f t="shared" si="21"/>
        <v>00</v>
      </c>
      <c r="O5" s="47" t="str">
        <f t="shared" si="22"/>
        <v>00</v>
      </c>
      <c r="P5" s="47" t="str">
        <f t="shared" si="23"/>
        <v>00</v>
      </c>
      <c r="Q5" s="47" t="str">
        <f t="shared" si="24"/>
        <v>00</v>
      </c>
      <c r="R5" s="53"/>
      <c r="S5" s="47" t="str">
        <f t="shared" si="0"/>
        <v>00000000</v>
      </c>
      <c r="T5" s="47" t="str">
        <f t="shared" si="1"/>
        <v>00000000</v>
      </c>
      <c r="U5" s="47" t="str">
        <f t="shared" si="1"/>
        <v>11111001</v>
      </c>
      <c r="V5" s="47" t="str">
        <f t="shared" si="1"/>
        <v>00001011</v>
      </c>
      <c r="W5" s="47" t="str">
        <f t="shared" si="1"/>
        <v>00000000</v>
      </c>
      <c r="X5" s="47" t="str">
        <f t="shared" si="1"/>
        <v>00000000</v>
      </c>
      <c r="Y5" s="47" t="str">
        <f t="shared" si="1"/>
        <v>00000000</v>
      </c>
      <c r="Z5" s="47" t="str">
        <f t="shared" si="25"/>
        <v>00000000</v>
      </c>
      <c r="AA5" s="47" t="str">
        <f t="shared" si="2"/>
        <v>00000000</v>
      </c>
      <c r="AB5" s="47" t="str">
        <f t="shared" si="3"/>
        <v>00000000</v>
      </c>
      <c r="AC5" s="47" t="str">
        <f t="shared" si="4"/>
        <v>00000000</v>
      </c>
      <c r="AD5" s="47" t="str">
        <f t="shared" si="5"/>
        <v>00000000</v>
      </c>
      <c r="AE5" s="47" t="str">
        <f t="shared" si="5"/>
        <v>00000000</v>
      </c>
      <c r="AF5" s="47" t="str">
        <f t="shared" si="6"/>
        <v>00000000</v>
      </c>
      <c r="AG5" s="47" t="str">
        <f t="shared" si="7"/>
        <v>00000000</v>
      </c>
      <c r="AH5" s="47" t="str">
        <f t="shared" si="8"/>
        <v>00000000</v>
      </c>
      <c r="AI5" s="44"/>
      <c r="AJ5" s="44"/>
      <c r="AK5" s="44"/>
      <c r="AL5" s="59" t="s">
        <v>397</v>
      </c>
      <c r="AM5" s="55" t="s">
        <v>398</v>
      </c>
      <c r="AN5" s="47">
        <v>3</v>
      </c>
      <c r="AO5" s="88" t="str">
        <f>MID($B2,1,1)</f>
        <v>3</v>
      </c>
      <c r="AP5" s="68"/>
      <c r="AQ5" s="44"/>
      <c r="AR5" s="44"/>
      <c r="AS5" s="44"/>
      <c r="AT5" s="44"/>
      <c r="AU5" s="44"/>
      <c r="AV5" s="56"/>
      <c r="AW5" s="55" t="s">
        <v>399</v>
      </c>
      <c r="AX5" s="175" t="s">
        <v>400</v>
      </c>
      <c r="AY5" s="175"/>
      <c r="AZ5" s="175"/>
      <c r="BA5" s="47" t="str">
        <f>MID($BA4,1,1)</f>
        <v>1</v>
      </c>
      <c r="BB5" s="47" t="str">
        <f>MID($BB4,1,1)</f>
        <v>1</v>
      </c>
      <c r="BC5" s="44"/>
      <c r="BD5" s="44"/>
      <c r="BE5" s="44"/>
      <c r="BF5" s="44"/>
      <c r="BG5" s="55" t="s">
        <v>401</v>
      </c>
      <c r="BH5" s="175" t="s">
        <v>402</v>
      </c>
      <c r="BI5" s="175"/>
      <c r="BJ5" s="175"/>
      <c r="BK5" s="47" t="str">
        <f>MID($BK4,1,1)</f>
        <v>0</v>
      </c>
      <c r="BL5" s="47" t="str">
        <f>MID($BL4,1,1)</f>
        <v>0</v>
      </c>
      <c r="BM5" s="57"/>
    </row>
    <row r="6" spans="1:65" x14ac:dyDescent="0.3">
      <c r="A6" s="26">
        <v>40</v>
      </c>
      <c r="B6" s="47" t="str">
        <f t="shared" si="9"/>
        <v>10</v>
      </c>
      <c r="C6" s="47" t="str">
        <f t="shared" si="10"/>
        <v>00</v>
      </c>
      <c r="D6" s="47" t="str">
        <f t="shared" si="11"/>
        <v>00</v>
      </c>
      <c r="E6" s="47" t="str">
        <f t="shared" si="12"/>
        <v>00</v>
      </c>
      <c r="F6" s="47" t="str">
        <f t="shared" si="13"/>
        <v>00</v>
      </c>
      <c r="G6" s="47" t="str">
        <f t="shared" si="14"/>
        <v>00</v>
      </c>
      <c r="H6" s="47" t="str">
        <f t="shared" si="15"/>
        <v>00</v>
      </c>
      <c r="I6" s="47" t="str">
        <f t="shared" si="16"/>
        <v>00</v>
      </c>
      <c r="J6" s="47" t="str">
        <f t="shared" si="17"/>
        <v>00</v>
      </c>
      <c r="K6" s="47" t="str">
        <f t="shared" si="18"/>
        <v>00</v>
      </c>
      <c r="L6" s="47" t="str">
        <f t="shared" si="19"/>
        <v>00</v>
      </c>
      <c r="M6" s="47" t="str">
        <f t="shared" si="20"/>
        <v>00</v>
      </c>
      <c r="N6" s="47" t="str">
        <f t="shared" si="21"/>
        <v>00</v>
      </c>
      <c r="O6" s="47" t="str">
        <f t="shared" si="22"/>
        <v>00</v>
      </c>
      <c r="P6" s="47" t="str">
        <f t="shared" si="23"/>
        <v>00</v>
      </c>
      <c r="Q6" s="47" t="str">
        <f t="shared" si="24"/>
        <v>00</v>
      </c>
      <c r="R6" s="53"/>
      <c r="S6" s="47" t="str">
        <f t="shared" si="0"/>
        <v>00010000</v>
      </c>
      <c r="T6" s="47" t="str">
        <f t="shared" si="1"/>
        <v>00000000</v>
      </c>
      <c r="U6" s="47" t="str">
        <f t="shared" si="1"/>
        <v>00000000</v>
      </c>
      <c r="V6" s="47" t="str">
        <f t="shared" si="1"/>
        <v>00000000</v>
      </c>
      <c r="W6" s="47" t="str">
        <f t="shared" si="1"/>
        <v>00000000</v>
      </c>
      <c r="X6" s="47" t="str">
        <f t="shared" si="1"/>
        <v>00000000</v>
      </c>
      <c r="Y6" s="47" t="str">
        <f t="shared" si="1"/>
        <v>00000000</v>
      </c>
      <c r="Z6" s="47" t="str">
        <f t="shared" si="25"/>
        <v>00000000</v>
      </c>
      <c r="AA6" s="47" t="str">
        <f t="shared" si="2"/>
        <v>00000000</v>
      </c>
      <c r="AB6" s="47" t="str">
        <f t="shared" si="3"/>
        <v>00000000</v>
      </c>
      <c r="AC6" s="47" t="str">
        <f t="shared" si="4"/>
        <v>00000000</v>
      </c>
      <c r="AD6" s="47" t="str">
        <f t="shared" si="5"/>
        <v>00000000</v>
      </c>
      <c r="AE6" s="47" t="str">
        <f t="shared" si="5"/>
        <v>00000000</v>
      </c>
      <c r="AF6" s="47" t="str">
        <f t="shared" si="6"/>
        <v>00000000</v>
      </c>
      <c r="AG6" s="47" t="str">
        <f t="shared" si="7"/>
        <v>00000000</v>
      </c>
      <c r="AH6" s="47" t="str">
        <f t="shared" si="8"/>
        <v>00000000</v>
      </c>
      <c r="AI6" s="44"/>
      <c r="AJ6" s="44"/>
      <c r="AK6" s="44"/>
      <c r="AL6" s="59" t="s">
        <v>403</v>
      </c>
      <c r="AM6" s="55" t="s">
        <v>404</v>
      </c>
      <c r="AN6" s="47">
        <v>4</v>
      </c>
      <c r="AO6" s="88" t="str">
        <f>MID($B2,2,1)</f>
        <v>6</v>
      </c>
      <c r="AP6" s="68"/>
      <c r="AQ6" s="44"/>
      <c r="AR6" s="44" t="s">
        <v>405</v>
      </c>
      <c r="AS6" s="44"/>
      <c r="AT6" s="44"/>
      <c r="AU6" s="44"/>
      <c r="AV6" s="56"/>
      <c r="AW6" s="55" t="s">
        <v>406</v>
      </c>
      <c r="AX6" s="175" t="s">
        <v>407</v>
      </c>
      <c r="AY6" s="175"/>
      <c r="AZ6" s="175"/>
      <c r="BA6" s="47" t="str">
        <f>MID($BA4,3,1)</f>
        <v>1</v>
      </c>
      <c r="BB6" s="47" t="str">
        <f>MID($BB4,3,1)</f>
        <v>1</v>
      </c>
      <c r="BC6" s="44"/>
      <c r="BD6" s="44"/>
      <c r="BE6" s="44"/>
      <c r="BF6" s="44"/>
      <c r="BG6" s="55" t="s">
        <v>408</v>
      </c>
      <c r="BH6" s="175" t="s">
        <v>409</v>
      </c>
      <c r="BI6" s="175"/>
      <c r="BJ6" s="175"/>
      <c r="BK6" s="47" t="str">
        <f>MID($BK4,2,1)</f>
        <v>1</v>
      </c>
      <c r="BL6" s="47" t="str">
        <f>MID($BL4,2,1)</f>
        <v>1</v>
      </c>
      <c r="BM6" s="57"/>
    </row>
    <row r="7" spans="1:65" x14ac:dyDescent="0.3">
      <c r="A7" s="26">
        <v>50</v>
      </c>
      <c r="B7" s="47" t="str">
        <f t="shared" si="9"/>
        <v>00</v>
      </c>
      <c r="C7" s="47" t="str">
        <f t="shared" si="10"/>
        <v>00</v>
      </c>
      <c r="D7" s="47" t="str">
        <f t="shared" si="11"/>
        <v>00</v>
      </c>
      <c r="E7" s="47" t="str">
        <f t="shared" si="12"/>
        <v>00</v>
      </c>
      <c r="F7" s="47" t="str">
        <f t="shared" si="13"/>
        <v>00</v>
      </c>
      <c r="G7" s="47" t="str">
        <f t="shared" si="14"/>
        <v>00</v>
      </c>
      <c r="H7" s="47" t="str">
        <f t="shared" si="15"/>
        <v>00</v>
      </c>
      <c r="I7" s="47" t="str">
        <f t="shared" si="16"/>
        <v>00</v>
      </c>
      <c r="J7" s="47" t="str">
        <f t="shared" si="17"/>
        <v>00</v>
      </c>
      <c r="K7" s="47" t="str">
        <f t="shared" si="18"/>
        <v>00</v>
      </c>
      <c r="L7" s="47" t="str">
        <f t="shared" si="19"/>
        <v>00</v>
      </c>
      <c r="M7" s="47" t="str">
        <f t="shared" si="20"/>
        <v>00</v>
      </c>
      <c r="N7" s="47" t="str">
        <f t="shared" si="21"/>
        <v>00</v>
      </c>
      <c r="O7" s="47" t="str">
        <f t="shared" si="22"/>
        <v>00</v>
      </c>
      <c r="P7" s="47" t="str">
        <f t="shared" si="23"/>
        <v>00</v>
      </c>
      <c r="Q7" s="47" t="str">
        <f t="shared" si="24"/>
        <v>00</v>
      </c>
      <c r="R7" s="53"/>
      <c r="S7" s="47" t="str">
        <f t="shared" si="0"/>
        <v>00000000</v>
      </c>
      <c r="T7" s="47" t="str">
        <f t="shared" ref="T7:AH7" si="26">TEXT(HEX2BIN(C7),"00000000")</f>
        <v>00000000</v>
      </c>
      <c r="U7" s="47" t="str">
        <f t="shared" si="26"/>
        <v>00000000</v>
      </c>
      <c r="V7" s="47" t="str">
        <f t="shared" si="26"/>
        <v>00000000</v>
      </c>
      <c r="W7" s="47" t="str">
        <f t="shared" si="26"/>
        <v>00000000</v>
      </c>
      <c r="X7" s="47" t="str">
        <f t="shared" si="26"/>
        <v>00000000</v>
      </c>
      <c r="Y7" s="47" t="str">
        <f t="shared" si="26"/>
        <v>00000000</v>
      </c>
      <c r="Z7" s="47" t="str">
        <f t="shared" si="26"/>
        <v>00000000</v>
      </c>
      <c r="AA7" s="47" t="str">
        <f t="shared" si="26"/>
        <v>00000000</v>
      </c>
      <c r="AB7" s="47" t="str">
        <f t="shared" si="26"/>
        <v>00000000</v>
      </c>
      <c r="AC7" s="47" t="str">
        <f t="shared" si="26"/>
        <v>00000000</v>
      </c>
      <c r="AD7" s="47" t="str">
        <f t="shared" si="26"/>
        <v>00000000</v>
      </c>
      <c r="AE7" s="47" t="str">
        <f t="shared" si="26"/>
        <v>00000000</v>
      </c>
      <c r="AF7" s="47" t="str">
        <f t="shared" si="26"/>
        <v>00000000</v>
      </c>
      <c r="AG7" s="47" t="str">
        <f t="shared" si="26"/>
        <v>00000000</v>
      </c>
      <c r="AH7" s="47" t="str">
        <f t="shared" si="26"/>
        <v>00000000</v>
      </c>
      <c r="AI7" s="44"/>
      <c r="AJ7" s="44"/>
      <c r="AK7" s="44"/>
      <c r="AL7" s="55"/>
      <c r="AM7" s="93" t="s">
        <v>410</v>
      </c>
      <c r="AN7" s="47"/>
      <c r="AO7" s="88"/>
      <c r="AP7" s="68"/>
      <c r="AQ7" s="44"/>
      <c r="AR7" s="44" t="s">
        <v>411</v>
      </c>
      <c r="AS7" s="60" t="s">
        <v>412</v>
      </c>
      <c r="AT7" s="44"/>
      <c r="AU7" s="44"/>
      <c r="AV7" s="56"/>
      <c r="AW7" s="55" t="s">
        <v>413</v>
      </c>
      <c r="AX7" s="175" t="s">
        <v>414</v>
      </c>
      <c r="AY7" s="175"/>
      <c r="AZ7" s="175"/>
      <c r="BA7" s="47" t="str">
        <f>MID($BA4,4,1)</f>
        <v>1</v>
      </c>
      <c r="BB7" s="47" t="str">
        <f>MID($BB4,4,1)</f>
        <v>1</v>
      </c>
      <c r="BC7" s="44"/>
      <c r="BD7" s="44"/>
      <c r="BE7" s="44"/>
      <c r="BF7" s="44"/>
      <c r="BG7" s="55" t="s">
        <v>415</v>
      </c>
      <c r="BH7" s="175" t="s">
        <v>416</v>
      </c>
      <c r="BI7" s="175"/>
      <c r="BJ7" s="175"/>
      <c r="BK7" s="47" t="str">
        <f>MID($BK4,3,1)</f>
        <v>1</v>
      </c>
      <c r="BL7" s="47" t="str">
        <f>MID($BL4,3,1)</f>
        <v>1</v>
      </c>
      <c r="BM7" s="57"/>
    </row>
    <row r="8" spans="1:65" x14ac:dyDescent="0.3">
      <c r="A8" s="26">
        <v>60</v>
      </c>
      <c r="B8" s="47" t="str">
        <f t="shared" si="9"/>
        <v>00</v>
      </c>
      <c r="C8" s="47" t="str">
        <f t="shared" si="10"/>
        <v>00</v>
      </c>
      <c r="D8" s="47" t="str">
        <f t="shared" si="11"/>
        <v>00</v>
      </c>
      <c r="E8" s="47" t="str">
        <f t="shared" si="12"/>
        <v>00</v>
      </c>
      <c r="F8" s="47" t="str">
        <f t="shared" si="13"/>
        <v>00</v>
      </c>
      <c r="G8" s="47" t="str">
        <f t="shared" si="14"/>
        <v>00</v>
      </c>
      <c r="H8" s="47" t="str">
        <f t="shared" si="15"/>
        <v>00</v>
      </c>
      <c r="I8" s="47" t="str">
        <f t="shared" si="16"/>
        <v>00</v>
      </c>
      <c r="J8" s="47" t="str">
        <f t="shared" si="17"/>
        <v>00</v>
      </c>
      <c r="K8" s="47" t="str">
        <f t="shared" si="18"/>
        <v>00</v>
      </c>
      <c r="L8" s="47" t="str">
        <f t="shared" si="19"/>
        <v>00</v>
      </c>
      <c r="M8" s="47" t="str">
        <f t="shared" si="20"/>
        <v>00</v>
      </c>
      <c r="N8" s="47" t="str">
        <f t="shared" si="21"/>
        <v>00</v>
      </c>
      <c r="O8" s="47" t="str">
        <f t="shared" si="22"/>
        <v>00</v>
      </c>
      <c r="P8" s="47" t="str">
        <f t="shared" si="23"/>
        <v>00</v>
      </c>
      <c r="Q8" s="47" t="str">
        <f t="shared" si="24"/>
        <v>00</v>
      </c>
      <c r="R8" s="53"/>
      <c r="S8" s="47" t="str">
        <f t="shared" ref="S8:S15" si="27">TEXT(HEX2BIN(B8),"00000000")</f>
        <v>00000000</v>
      </c>
      <c r="T8" s="47" t="str">
        <f t="shared" ref="T8:T15" si="28">TEXT(HEX2BIN(C8),"00000000")</f>
        <v>00000000</v>
      </c>
      <c r="U8" s="47" t="str">
        <f t="shared" ref="U8:U15" si="29">TEXT(HEX2BIN(D8),"00000000")</f>
        <v>00000000</v>
      </c>
      <c r="V8" s="47" t="str">
        <f t="shared" ref="V8:V15" si="30">TEXT(HEX2BIN(E8),"00000000")</f>
        <v>00000000</v>
      </c>
      <c r="W8" s="47" t="str">
        <f t="shared" ref="W8:W15" si="31">TEXT(HEX2BIN(F8),"00000000")</f>
        <v>00000000</v>
      </c>
      <c r="X8" s="47" t="str">
        <f t="shared" ref="X8:X15" si="32">TEXT(HEX2BIN(G8),"00000000")</f>
        <v>00000000</v>
      </c>
      <c r="Y8" s="47" t="str">
        <f t="shared" ref="Y8:Y15" si="33">TEXT(HEX2BIN(H8),"00000000")</f>
        <v>00000000</v>
      </c>
      <c r="Z8" s="47" t="str">
        <f t="shared" ref="Z8:Z15" si="34">TEXT(HEX2BIN(I8),"00000000")</f>
        <v>00000000</v>
      </c>
      <c r="AA8" s="47" t="str">
        <f t="shared" ref="AA8:AA15" si="35">TEXT(HEX2BIN(J8),"00000000")</f>
        <v>00000000</v>
      </c>
      <c r="AB8" s="47" t="str">
        <f t="shared" ref="AB8:AB15" si="36">TEXT(HEX2BIN(K8),"00000000")</f>
        <v>00000000</v>
      </c>
      <c r="AC8" s="47" t="str">
        <f t="shared" ref="AC8:AC15" si="37">TEXT(HEX2BIN(L8),"00000000")</f>
        <v>00000000</v>
      </c>
      <c r="AD8" s="47" t="str">
        <f t="shared" ref="AD8:AD15" si="38">TEXT(HEX2BIN(M8),"00000000")</f>
        <v>00000000</v>
      </c>
      <c r="AE8" s="47" t="str">
        <f t="shared" ref="AE8:AE15" si="39">TEXT(HEX2BIN(N8),"00000000")</f>
        <v>00000000</v>
      </c>
      <c r="AF8" s="47" t="str">
        <f t="shared" ref="AF8:AF15" si="40">TEXT(HEX2BIN(O8),"00000000")</f>
        <v>00000000</v>
      </c>
      <c r="AG8" s="47" t="str">
        <f t="shared" ref="AG8:AG15" si="41">TEXT(HEX2BIN(P8),"00000000")</f>
        <v>00000000</v>
      </c>
      <c r="AH8" s="47" t="str">
        <f t="shared" ref="AH8:AH15" si="42">TEXT(HEX2BIN(Q8),"00000000")</f>
        <v>00000000</v>
      </c>
      <c r="AI8" s="44"/>
      <c r="AJ8" s="44"/>
      <c r="AK8" s="44"/>
      <c r="AL8" s="59" t="s">
        <v>417</v>
      </c>
      <c r="AM8" s="55" t="s">
        <v>418</v>
      </c>
      <c r="AN8" s="47">
        <v>1</v>
      </c>
      <c r="AO8" s="88" t="str">
        <f>MID($C2,2,1)</f>
        <v>1</v>
      </c>
      <c r="AP8" s="68"/>
      <c r="AQ8" s="44"/>
      <c r="AR8" s="44" t="s">
        <v>419</v>
      </c>
      <c r="AS8" s="60" t="s">
        <v>420</v>
      </c>
      <c r="AT8" s="44"/>
      <c r="AU8" s="44"/>
      <c r="AV8" s="56"/>
      <c r="AW8" s="55" t="s">
        <v>421</v>
      </c>
      <c r="AX8" s="175" t="s">
        <v>422</v>
      </c>
      <c r="AY8" s="175"/>
      <c r="AZ8" s="175"/>
      <c r="BA8" s="47" t="str">
        <f>MID($BA4,5,1)</f>
        <v>1</v>
      </c>
      <c r="BB8" s="47" t="str">
        <f>MID($BB4,5,1)</f>
        <v>1</v>
      </c>
      <c r="BC8" s="44"/>
      <c r="BD8" s="44"/>
      <c r="BE8" s="44"/>
      <c r="BF8" s="44"/>
      <c r="BG8" s="55" t="s">
        <v>423</v>
      </c>
      <c r="BH8" s="175" t="s">
        <v>424</v>
      </c>
      <c r="BI8" s="175"/>
      <c r="BJ8" s="175"/>
      <c r="BK8" s="47" t="str">
        <f>MID($BK4,4,1)</f>
        <v>0</v>
      </c>
      <c r="BL8" s="47" t="str">
        <f>MID($BL4,4,1)</f>
        <v>0</v>
      </c>
      <c r="BM8" s="57"/>
    </row>
    <row r="9" spans="1:65" x14ac:dyDescent="0.3">
      <c r="A9" s="26">
        <v>70</v>
      </c>
      <c r="B9" s="47" t="str">
        <f t="shared" si="9"/>
        <v>00</v>
      </c>
      <c r="C9" s="47" t="str">
        <f t="shared" si="10"/>
        <v>00</v>
      </c>
      <c r="D9" s="47" t="str">
        <f t="shared" si="11"/>
        <v>00</v>
      </c>
      <c r="E9" s="47" t="str">
        <f t="shared" si="12"/>
        <v>00</v>
      </c>
      <c r="F9" s="47" t="str">
        <f t="shared" si="13"/>
        <v>00</v>
      </c>
      <c r="G9" s="47" t="str">
        <f t="shared" si="14"/>
        <v>00</v>
      </c>
      <c r="H9" s="47" t="str">
        <f t="shared" si="15"/>
        <v>00</v>
      </c>
      <c r="I9" s="47" t="str">
        <f t="shared" si="16"/>
        <v>00</v>
      </c>
      <c r="J9" s="47" t="str">
        <f t="shared" si="17"/>
        <v>00</v>
      </c>
      <c r="K9" s="47" t="str">
        <f t="shared" si="18"/>
        <v>00</v>
      </c>
      <c r="L9" s="47" t="str">
        <f t="shared" si="19"/>
        <v>00</v>
      </c>
      <c r="M9" s="47" t="str">
        <f t="shared" si="20"/>
        <v>00</v>
      </c>
      <c r="N9" s="47" t="str">
        <f t="shared" si="21"/>
        <v>00</v>
      </c>
      <c r="O9" s="47" t="str">
        <f t="shared" si="22"/>
        <v>00</v>
      </c>
      <c r="P9" s="47" t="str">
        <f t="shared" si="23"/>
        <v>00</v>
      </c>
      <c r="Q9" s="47" t="str">
        <f t="shared" si="24"/>
        <v>00</v>
      </c>
      <c r="R9" s="53"/>
      <c r="S9" s="47" t="str">
        <f t="shared" si="27"/>
        <v>00000000</v>
      </c>
      <c r="T9" s="47" t="str">
        <f t="shared" si="28"/>
        <v>00000000</v>
      </c>
      <c r="U9" s="47" t="str">
        <f t="shared" si="29"/>
        <v>00000000</v>
      </c>
      <c r="V9" s="47" t="str">
        <f t="shared" si="30"/>
        <v>00000000</v>
      </c>
      <c r="W9" s="47" t="str">
        <f t="shared" si="31"/>
        <v>00000000</v>
      </c>
      <c r="X9" s="47" t="str">
        <f t="shared" si="32"/>
        <v>00000000</v>
      </c>
      <c r="Y9" s="47" t="str">
        <f t="shared" si="33"/>
        <v>00000000</v>
      </c>
      <c r="Z9" s="47" t="str">
        <f t="shared" si="34"/>
        <v>00000000</v>
      </c>
      <c r="AA9" s="47" t="str">
        <f t="shared" si="35"/>
        <v>00000000</v>
      </c>
      <c r="AB9" s="47" t="str">
        <f t="shared" si="36"/>
        <v>00000000</v>
      </c>
      <c r="AC9" s="47" t="str">
        <f t="shared" si="37"/>
        <v>00000000</v>
      </c>
      <c r="AD9" s="47" t="str">
        <f t="shared" si="38"/>
        <v>00000000</v>
      </c>
      <c r="AE9" s="47" t="str">
        <f t="shared" si="39"/>
        <v>00000000</v>
      </c>
      <c r="AF9" s="47" t="str">
        <f t="shared" si="40"/>
        <v>00000000</v>
      </c>
      <c r="AG9" s="47" t="str">
        <f t="shared" si="41"/>
        <v>00000000</v>
      </c>
      <c r="AH9" s="47" t="str">
        <f t="shared" si="42"/>
        <v>00000000</v>
      </c>
      <c r="AI9" s="44"/>
      <c r="AJ9" s="44"/>
      <c r="AK9" s="44"/>
      <c r="AL9" s="59" t="s">
        <v>425</v>
      </c>
      <c r="AM9" s="55" t="s">
        <v>426</v>
      </c>
      <c r="AN9" s="47">
        <v>1</v>
      </c>
      <c r="AO9" s="88" t="str">
        <f>MID($D2,2,1)</f>
        <v>1</v>
      </c>
      <c r="AP9" s="68"/>
      <c r="AQ9" s="44"/>
      <c r="AR9" s="44" t="s">
        <v>427</v>
      </c>
      <c r="AS9" s="60" t="s">
        <v>428</v>
      </c>
      <c r="AT9" s="44"/>
      <c r="AU9" s="44"/>
      <c r="AV9" s="56"/>
      <c r="AW9" s="55" t="s">
        <v>429</v>
      </c>
      <c r="AX9" s="175" t="s">
        <v>430</v>
      </c>
      <c r="AY9" s="175"/>
      <c r="AZ9" s="175"/>
      <c r="BA9" s="47" t="str">
        <f>MID($BA4,6,1)</f>
        <v>1</v>
      </c>
      <c r="BB9" s="47" t="str">
        <f>MID($BB4,6,1)</f>
        <v>1</v>
      </c>
      <c r="BC9" s="44"/>
      <c r="BD9" s="44"/>
      <c r="BE9" s="44"/>
      <c r="BF9" s="44"/>
      <c r="BG9" s="55" t="s">
        <v>431</v>
      </c>
      <c r="BH9" s="175" t="s">
        <v>432</v>
      </c>
      <c r="BI9" s="175"/>
      <c r="BJ9" s="175"/>
      <c r="BK9" s="47" t="str">
        <f>MID($BK4,5,1)</f>
        <v>0</v>
      </c>
      <c r="BL9" s="47" t="str">
        <f>MID($BL4,5,1)</f>
        <v>0</v>
      </c>
      <c r="BM9" s="57"/>
    </row>
    <row r="10" spans="1:65" x14ac:dyDescent="0.3">
      <c r="A10" s="26">
        <v>80</v>
      </c>
      <c r="B10" s="47" t="str">
        <f t="shared" si="9"/>
        <v>00</v>
      </c>
      <c r="C10" s="47" t="str">
        <f t="shared" si="10"/>
        <v>00</v>
      </c>
      <c r="D10" s="47" t="str">
        <f t="shared" si="11"/>
        <v>00</v>
      </c>
      <c r="E10" s="47" t="str">
        <f t="shared" si="12"/>
        <v>00</v>
      </c>
      <c r="F10" s="47" t="str">
        <f t="shared" si="13"/>
        <v>00</v>
      </c>
      <c r="G10" s="47" t="str">
        <f t="shared" si="14"/>
        <v>00</v>
      </c>
      <c r="H10" s="47" t="str">
        <f t="shared" si="15"/>
        <v>00</v>
      </c>
      <c r="I10" s="47" t="str">
        <f t="shared" si="16"/>
        <v>00</v>
      </c>
      <c r="J10" s="47" t="str">
        <f t="shared" si="17"/>
        <v>00</v>
      </c>
      <c r="K10" s="47" t="str">
        <f t="shared" si="18"/>
        <v>00</v>
      </c>
      <c r="L10" s="47" t="str">
        <f t="shared" si="19"/>
        <v>00</v>
      </c>
      <c r="M10" s="47" t="str">
        <f t="shared" si="20"/>
        <v>00</v>
      </c>
      <c r="N10" s="47" t="str">
        <f t="shared" si="21"/>
        <v>00</v>
      </c>
      <c r="O10" s="47" t="str">
        <f t="shared" si="22"/>
        <v>00</v>
      </c>
      <c r="P10" s="47" t="str">
        <f t="shared" si="23"/>
        <v>00</v>
      </c>
      <c r="Q10" s="47" t="str">
        <f t="shared" si="24"/>
        <v>00</v>
      </c>
      <c r="R10" s="53"/>
      <c r="S10" s="47" t="str">
        <f t="shared" si="27"/>
        <v>00000000</v>
      </c>
      <c r="T10" s="47" t="str">
        <f t="shared" si="28"/>
        <v>00000000</v>
      </c>
      <c r="U10" s="47" t="str">
        <f t="shared" si="29"/>
        <v>00000000</v>
      </c>
      <c r="V10" s="47" t="str">
        <f t="shared" si="30"/>
        <v>00000000</v>
      </c>
      <c r="W10" s="47" t="str">
        <f t="shared" si="31"/>
        <v>00000000</v>
      </c>
      <c r="X10" s="47" t="str">
        <f t="shared" si="32"/>
        <v>00000000</v>
      </c>
      <c r="Y10" s="47" t="str">
        <f t="shared" si="33"/>
        <v>00000000</v>
      </c>
      <c r="Z10" s="47" t="str">
        <f t="shared" si="34"/>
        <v>00000000</v>
      </c>
      <c r="AA10" s="47" t="str">
        <f t="shared" si="35"/>
        <v>00000000</v>
      </c>
      <c r="AB10" s="47" t="str">
        <f t="shared" si="36"/>
        <v>00000000</v>
      </c>
      <c r="AC10" s="47" t="str">
        <f t="shared" si="37"/>
        <v>00000000</v>
      </c>
      <c r="AD10" s="47" t="str">
        <f t="shared" si="38"/>
        <v>00000000</v>
      </c>
      <c r="AE10" s="47" t="str">
        <f t="shared" si="39"/>
        <v>00000000</v>
      </c>
      <c r="AF10" s="47" t="str">
        <f t="shared" si="40"/>
        <v>00000000</v>
      </c>
      <c r="AG10" s="47" t="str">
        <f t="shared" si="41"/>
        <v>00000000</v>
      </c>
      <c r="AH10" s="47" t="str">
        <f t="shared" si="42"/>
        <v>00000000</v>
      </c>
      <c r="AI10" s="44"/>
      <c r="AJ10" s="44"/>
      <c r="AK10" s="44"/>
      <c r="AL10" s="59" t="s">
        <v>433</v>
      </c>
      <c r="AM10" s="55" t="s">
        <v>20</v>
      </c>
      <c r="AN10" s="47" t="s">
        <v>434</v>
      </c>
      <c r="AO10" s="88" t="str">
        <f>MID($V2,5,2)</f>
        <v>11</v>
      </c>
      <c r="AP10" s="104" t="str">
        <f>IF(BIN2DEC(AO10)=3,"link stable","!!!!CRC ERROR!!!")</f>
        <v>link stable</v>
      </c>
      <c r="AQ10" s="44"/>
      <c r="AR10" s="44" t="s">
        <v>435</v>
      </c>
      <c r="AS10" s="60" t="s">
        <v>436</v>
      </c>
      <c r="AT10" s="44"/>
      <c r="AU10" s="44"/>
      <c r="AV10" s="56"/>
      <c r="AW10" s="55" t="s">
        <v>437</v>
      </c>
      <c r="AX10" s="175" t="s">
        <v>438</v>
      </c>
      <c r="AY10" s="175"/>
      <c r="AZ10" s="175"/>
      <c r="BA10" s="47" t="str">
        <f>MID($BA4,7,1)</f>
        <v>1</v>
      </c>
      <c r="BB10" s="47" t="str">
        <f>MID($BB4,7,1)</f>
        <v>1</v>
      </c>
      <c r="BC10" s="44"/>
      <c r="BD10" s="44"/>
      <c r="BE10" s="44"/>
      <c r="BF10" s="44"/>
      <c r="BG10" s="55" t="s">
        <v>439</v>
      </c>
      <c r="BH10" s="175" t="s">
        <v>440</v>
      </c>
      <c r="BI10" s="175"/>
      <c r="BJ10" s="175"/>
      <c r="BK10" s="47" t="str">
        <f>MID($BK4,6,1)</f>
        <v>1</v>
      </c>
      <c r="BL10" s="47" t="str">
        <f>MID($BL4,6,1)</f>
        <v>0</v>
      </c>
      <c r="BM10" s="57"/>
    </row>
    <row r="11" spans="1:65" x14ac:dyDescent="0.3">
      <c r="A11" s="26">
        <v>90</v>
      </c>
      <c r="B11" s="47" t="str">
        <f t="shared" si="9"/>
        <v>00</v>
      </c>
      <c r="C11" s="47" t="str">
        <f t="shared" si="10"/>
        <v>00</v>
      </c>
      <c r="D11" s="47" t="str">
        <f t="shared" si="11"/>
        <v>00</v>
      </c>
      <c r="E11" s="47" t="str">
        <f t="shared" si="12"/>
        <v>00</v>
      </c>
      <c r="F11" s="47" t="str">
        <f t="shared" si="13"/>
        <v>00</v>
      </c>
      <c r="G11" s="47" t="str">
        <f t="shared" si="14"/>
        <v>00</v>
      </c>
      <c r="H11" s="47" t="str">
        <f t="shared" si="15"/>
        <v>00</v>
      </c>
      <c r="I11" s="47" t="str">
        <f t="shared" si="16"/>
        <v>00</v>
      </c>
      <c r="J11" s="47" t="str">
        <f t="shared" si="17"/>
        <v>00</v>
      </c>
      <c r="K11" s="47" t="str">
        <f t="shared" si="18"/>
        <v>00</v>
      </c>
      <c r="L11" s="47" t="str">
        <f t="shared" si="19"/>
        <v>00</v>
      </c>
      <c r="M11" s="47" t="str">
        <f t="shared" si="20"/>
        <v>00</v>
      </c>
      <c r="N11" s="47" t="str">
        <f t="shared" si="21"/>
        <v>00</v>
      </c>
      <c r="O11" s="47" t="str">
        <f t="shared" si="22"/>
        <v>00</v>
      </c>
      <c r="P11" s="47" t="str">
        <f t="shared" si="23"/>
        <v>00</v>
      </c>
      <c r="Q11" s="47" t="str">
        <f t="shared" si="24"/>
        <v>00</v>
      </c>
      <c r="R11" s="53"/>
      <c r="S11" s="47" t="str">
        <f t="shared" si="27"/>
        <v>00000000</v>
      </c>
      <c r="T11" s="47" t="str">
        <f t="shared" si="28"/>
        <v>00000000</v>
      </c>
      <c r="U11" s="47" t="str">
        <f t="shared" si="29"/>
        <v>00000000</v>
      </c>
      <c r="V11" s="47" t="str">
        <f t="shared" si="30"/>
        <v>00000000</v>
      </c>
      <c r="W11" s="47" t="str">
        <f t="shared" si="31"/>
        <v>00000000</v>
      </c>
      <c r="X11" s="47" t="str">
        <f t="shared" si="32"/>
        <v>00000000</v>
      </c>
      <c r="Y11" s="47" t="str">
        <f t="shared" si="33"/>
        <v>00000000</v>
      </c>
      <c r="Z11" s="47" t="str">
        <f t="shared" si="34"/>
        <v>00000000</v>
      </c>
      <c r="AA11" s="47" t="str">
        <f t="shared" si="35"/>
        <v>00000000</v>
      </c>
      <c r="AB11" s="47" t="str">
        <f t="shared" si="36"/>
        <v>00000000</v>
      </c>
      <c r="AC11" s="47" t="str">
        <f t="shared" si="37"/>
        <v>00000000</v>
      </c>
      <c r="AD11" s="47" t="str">
        <f t="shared" si="38"/>
        <v>00000000</v>
      </c>
      <c r="AE11" s="47" t="str">
        <f t="shared" si="39"/>
        <v>00000000</v>
      </c>
      <c r="AF11" s="47" t="str">
        <f t="shared" si="40"/>
        <v>00000000</v>
      </c>
      <c r="AG11" s="47" t="str">
        <f t="shared" si="41"/>
        <v>00000000</v>
      </c>
      <c r="AH11" s="47" t="str">
        <f t="shared" si="42"/>
        <v>00000000</v>
      </c>
      <c r="AI11" s="44"/>
      <c r="AJ11" s="44"/>
      <c r="AK11" s="44"/>
      <c r="AL11" s="59" t="s">
        <v>441</v>
      </c>
      <c r="AM11" s="135" t="s">
        <v>442</v>
      </c>
      <c r="AN11" s="131" t="s">
        <v>434</v>
      </c>
      <c r="AO11" s="101" t="str">
        <f>MID($V2,7,2)</f>
        <v>11</v>
      </c>
      <c r="AP11" s="132" t="str">
        <f>IF(BIN2DEC(AO11)=3,"link stable","!!!!CRC ERROR!!!")</f>
        <v>link stable</v>
      </c>
      <c r="AQ11" s="44"/>
      <c r="AR11" s="44"/>
      <c r="AS11" s="44"/>
      <c r="AT11" s="44"/>
      <c r="AU11" s="44"/>
      <c r="AV11" s="56"/>
      <c r="AW11" s="55" t="s">
        <v>443</v>
      </c>
      <c r="AX11" s="175" t="s">
        <v>444</v>
      </c>
      <c r="AY11" s="175"/>
      <c r="AZ11" s="175"/>
      <c r="BA11" s="47" t="str">
        <f>MID($BA4,8,1)</f>
        <v>1</v>
      </c>
      <c r="BB11" s="47" t="str">
        <f>MID($BB4,8,1)</f>
        <v>1</v>
      </c>
      <c r="BC11" s="44"/>
      <c r="BD11" s="44"/>
      <c r="BE11" s="44"/>
      <c r="BF11" s="44"/>
      <c r="BG11" s="55" t="s">
        <v>445</v>
      </c>
      <c r="BH11" s="175" t="s">
        <v>446</v>
      </c>
      <c r="BI11" s="175"/>
      <c r="BJ11" s="175"/>
      <c r="BK11" s="47" t="str">
        <f>MID($BK4,7,1)</f>
        <v>0</v>
      </c>
      <c r="BL11" s="47" t="str">
        <f>MID($BL4,7,1)</f>
        <v>1</v>
      </c>
      <c r="BM11" s="57"/>
    </row>
    <row r="12" spans="1:65" x14ac:dyDescent="0.3">
      <c r="A12" s="26" t="s">
        <v>129</v>
      </c>
      <c r="B12" s="47" t="str">
        <f t="shared" si="9"/>
        <v>00</v>
      </c>
      <c r="C12" s="47" t="str">
        <f t="shared" si="10"/>
        <v>00</v>
      </c>
      <c r="D12" s="47" t="str">
        <f t="shared" si="11"/>
        <v>00</v>
      </c>
      <c r="E12" s="47" t="str">
        <f t="shared" si="12"/>
        <v>00</v>
      </c>
      <c r="F12" s="47" t="str">
        <f t="shared" si="13"/>
        <v>00</v>
      </c>
      <c r="G12" s="47" t="str">
        <f t="shared" si="14"/>
        <v>00</v>
      </c>
      <c r="H12" s="47" t="str">
        <f t="shared" si="15"/>
        <v>00</v>
      </c>
      <c r="I12" s="47" t="str">
        <f t="shared" si="16"/>
        <v>00</v>
      </c>
      <c r="J12" s="47" t="str">
        <f t="shared" si="17"/>
        <v>00</v>
      </c>
      <c r="K12" s="47" t="str">
        <f t="shared" si="18"/>
        <v>00</v>
      </c>
      <c r="L12" s="47" t="str">
        <f t="shared" si="19"/>
        <v>00</v>
      </c>
      <c r="M12" s="47" t="str">
        <f t="shared" si="20"/>
        <v>00</v>
      </c>
      <c r="N12" s="47" t="str">
        <f t="shared" si="21"/>
        <v>00</v>
      </c>
      <c r="O12" s="47" t="str">
        <f t="shared" si="22"/>
        <v>00</v>
      </c>
      <c r="P12" s="47" t="str">
        <f t="shared" si="23"/>
        <v>00</v>
      </c>
      <c r="Q12" s="47" t="str">
        <f t="shared" si="24"/>
        <v>00</v>
      </c>
      <c r="R12" s="53"/>
      <c r="S12" s="47" t="str">
        <f t="shared" si="27"/>
        <v>00000000</v>
      </c>
      <c r="T12" s="47" t="str">
        <f t="shared" si="28"/>
        <v>00000000</v>
      </c>
      <c r="U12" s="47" t="str">
        <f t="shared" si="29"/>
        <v>00000000</v>
      </c>
      <c r="V12" s="47" t="str">
        <f t="shared" si="30"/>
        <v>00000000</v>
      </c>
      <c r="W12" s="47" t="str">
        <f t="shared" si="31"/>
        <v>00000000</v>
      </c>
      <c r="X12" s="47" t="str">
        <f t="shared" si="32"/>
        <v>00000000</v>
      </c>
      <c r="Y12" s="47" t="str">
        <f t="shared" si="33"/>
        <v>00000000</v>
      </c>
      <c r="Z12" s="47" t="str">
        <f t="shared" si="34"/>
        <v>00000000</v>
      </c>
      <c r="AA12" s="47" t="str">
        <f t="shared" si="35"/>
        <v>00000000</v>
      </c>
      <c r="AB12" s="47" t="str">
        <f t="shared" si="36"/>
        <v>00000000</v>
      </c>
      <c r="AC12" s="47" t="str">
        <f t="shared" si="37"/>
        <v>00000000</v>
      </c>
      <c r="AD12" s="47" t="str">
        <f t="shared" si="38"/>
        <v>00000000</v>
      </c>
      <c r="AE12" s="47" t="str">
        <f t="shared" si="39"/>
        <v>00000000</v>
      </c>
      <c r="AF12" s="47" t="str">
        <f t="shared" si="40"/>
        <v>00000000</v>
      </c>
      <c r="AG12" s="47" t="str">
        <f t="shared" si="41"/>
        <v>00000000</v>
      </c>
      <c r="AH12" s="47" t="str">
        <f t="shared" si="42"/>
        <v>00000000</v>
      </c>
      <c r="AI12" s="44"/>
      <c r="AJ12" s="44"/>
      <c r="AK12" s="44"/>
      <c r="AL12" s="89" t="s">
        <v>447</v>
      </c>
      <c r="AM12" s="68" t="s">
        <v>448</v>
      </c>
      <c r="AN12" s="68"/>
      <c r="AO12" s="70" t="str">
        <f>MID(W2,7,1)</f>
        <v>1</v>
      </c>
      <c r="AP12" s="68"/>
      <c r="AQ12" s="44"/>
      <c r="AR12" s="44"/>
      <c r="AS12" s="44"/>
      <c r="AT12" s="44"/>
      <c r="AU12" s="44"/>
      <c r="AV12" s="56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55" t="s">
        <v>449</v>
      </c>
      <c r="BH12" s="175" t="s">
        <v>450</v>
      </c>
      <c r="BI12" s="175"/>
      <c r="BJ12" s="175"/>
      <c r="BK12" s="47" t="str">
        <f>MID($BK4,8,1)</f>
        <v>0</v>
      </c>
      <c r="BL12" s="47" t="str">
        <f>MID($BL4,8,1)</f>
        <v>1</v>
      </c>
      <c r="BM12" s="57"/>
    </row>
    <row r="13" spans="1:65" x14ac:dyDescent="0.3">
      <c r="A13" s="26" t="s">
        <v>139</v>
      </c>
      <c r="B13" s="47" t="str">
        <f t="shared" si="9"/>
        <v>00</v>
      </c>
      <c r="C13" s="47" t="str">
        <f t="shared" si="10"/>
        <v>00</v>
      </c>
      <c r="D13" s="47" t="str">
        <f t="shared" si="11"/>
        <v>00</v>
      </c>
      <c r="E13" s="47" t="str">
        <f t="shared" si="12"/>
        <v>00</v>
      </c>
      <c r="F13" s="47" t="str">
        <f t="shared" si="13"/>
        <v>00</v>
      </c>
      <c r="G13" s="47" t="str">
        <f t="shared" si="14"/>
        <v>00</v>
      </c>
      <c r="H13" s="47" t="str">
        <f t="shared" si="15"/>
        <v>00</v>
      </c>
      <c r="I13" s="47" t="str">
        <f t="shared" si="16"/>
        <v>00</v>
      </c>
      <c r="J13" s="47" t="str">
        <f t="shared" si="17"/>
        <v>00</v>
      </c>
      <c r="K13" s="47" t="str">
        <f t="shared" si="18"/>
        <v>00</v>
      </c>
      <c r="L13" s="47" t="str">
        <f t="shared" si="19"/>
        <v>00</v>
      </c>
      <c r="M13" s="47" t="str">
        <f t="shared" si="20"/>
        <v>00</v>
      </c>
      <c r="N13" s="47" t="str">
        <f t="shared" si="21"/>
        <v>00</v>
      </c>
      <c r="O13" s="47" t="str">
        <f t="shared" si="22"/>
        <v>00</v>
      </c>
      <c r="P13" s="47" t="str">
        <f t="shared" si="23"/>
        <v>00</v>
      </c>
      <c r="Q13" s="47" t="str">
        <f t="shared" si="24"/>
        <v>00</v>
      </c>
      <c r="R13" s="53"/>
      <c r="S13" s="47" t="str">
        <f t="shared" si="27"/>
        <v>00000000</v>
      </c>
      <c r="T13" s="47" t="str">
        <f t="shared" si="28"/>
        <v>00000000</v>
      </c>
      <c r="U13" s="47" t="str">
        <f t="shared" si="29"/>
        <v>00000000</v>
      </c>
      <c r="V13" s="47" t="str">
        <f t="shared" si="30"/>
        <v>00000000</v>
      </c>
      <c r="W13" s="47" t="str">
        <f t="shared" si="31"/>
        <v>00000000</v>
      </c>
      <c r="X13" s="47" t="str">
        <f t="shared" si="32"/>
        <v>00000000</v>
      </c>
      <c r="Y13" s="47" t="str">
        <f t="shared" si="33"/>
        <v>00000000</v>
      </c>
      <c r="Z13" s="47" t="str">
        <f t="shared" si="34"/>
        <v>00000000</v>
      </c>
      <c r="AA13" s="47" t="str">
        <f t="shared" si="35"/>
        <v>00000000</v>
      </c>
      <c r="AB13" s="47" t="str">
        <f t="shared" si="36"/>
        <v>00000000</v>
      </c>
      <c r="AC13" s="47" t="str">
        <f t="shared" si="37"/>
        <v>00000000</v>
      </c>
      <c r="AD13" s="47" t="str">
        <f t="shared" si="38"/>
        <v>00000000</v>
      </c>
      <c r="AE13" s="47" t="str">
        <f t="shared" si="39"/>
        <v>00000000</v>
      </c>
      <c r="AF13" s="47" t="str">
        <f t="shared" si="40"/>
        <v>00000000</v>
      </c>
      <c r="AG13" s="47" t="str">
        <f t="shared" si="41"/>
        <v>00000000</v>
      </c>
      <c r="AH13" s="47" t="str">
        <f t="shared" si="42"/>
        <v>00000000</v>
      </c>
      <c r="AI13" s="44"/>
      <c r="AJ13" s="44"/>
      <c r="AK13" s="44"/>
      <c r="AL13" s="89" t="s">
        <v>451</v>
      </c>
      <c r="AM13" s="68" t="s">
        <v>452</v>
      </c>
      <c r="AN13" s="68"/>
      <c r="AO13" s="70" t="str">
        <f>MID(W2,8,1)</f>
        <v>1</v>
      </c>
      <c r="AP13" s="68"/>
      <c r="AQ13" s="44"/>
      <c r="AR13" s="44"/>
      <c r="AS13" s="44"/>
      <c r="AT13" s="44"/>
      <c r="AU13" s="44"/>
      <c r="AV13" s="56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57"/>
    </row>
    <row r="14" spans="1:65" x14ac:dyDescent="0.3">
      <c r="A14" s="26" t="s">
        <v>144</v>
      </c>
      <c r="B14" s="47" t="str">
        <f t="shared" si="9"/>
        <v>00</v>
      </c>
      <c r="C14" s="47" t="str">
        <f t="shared" si="10"/>
        <v>00</v>
      </c>
      <c r="D14" s="47" t="str">
        <f t="shared" si="11"/>
        <v>00</v>
      </c>
      <c r="E14" s="47" t="str">
        <f t="shared" si="12"/>
        <v>00</v>
      </c>
      <c r="F14" s="47" t="str">
        <f t="shared" si="13"/>
        <v>00</v>
      </c>
      <c r="G14" s="47" t="str">
        <f t="shared" si="14"/>
        <v>00</v>
      </c>
      <c r="H14" s="47" t="str">
        <f t="shared" si="15"/>
        <v>00</v>
      </c>
      <c r="I14" s="47" t="str">
        <f t="shared" si="16"/>
        <v>00</v>
      </c>
      <c r="J14" s="47" t="str">
        <f t="shared" si="17"/>
        <v>00</v>
      </c>
      <c r="K14" s="47" t="str">
        <f t="shared" si="18"/>
        <v>00</v>
      </c>
      <c r="L14" s="47" t="str">
        <f t="shared" si="19"/>
        <v>00</v>
      </c>
      <c r="M14" s="47" t="str">
        <f t="shared" si="20"/>
        <v>00</v>
      </c>
      <c r="N14" s="47" t="str">
        <f t="shared" si="21"/>
        <v>00</v>
      </c>
      <c r="O14" s="47" t="str">
        <f t="shared" si="22"/>
        <v>00</v>
      </c>
      <c r="P14" s="47" t="str">
        <f t="shared" si="23"/>
        <v>00</v>
      </c>
      <c r="Q14" s="47" t="str">
        <f t="shared" si="24"/>
        <v>00</v>
      </c>
      <c r="R14" s="53"/>
      <c r="S14" s="47" t="str">
        <f t="shared" si="27"/>
        <v>00000000</v>
      </c>
      <c r="T14" s="47" t="str">
        <f t="shared" si="28"/>
        <v>00000000</v>
      </c>
      <c r="U14" s="47" t="str">
        <f t="shared" si="29"/>
        <v>00000000</v>
      </c>
      <c r="V14" s="47" t="str">
        <f t="shared" si="30"/>
        <v>00000000</v>
      </c>
      <c r="W14" s="47" t="str">
        <f t="shared" si="31"/>
        <v>00000000</v>
      </c>
      <c r="X14" s="47" t="str">
        <f t="shared" si="32"/>
        <v>00000000</v>
      </c>
      <c r="Y14" s="47" t="str">
        <f t="shared" si="33"/>
        <v>00000000</v>
      </c>
      <c r="Z14" s="47" t="str">
        <f t="shared" si="34"/>
        <v>00000000</v>
      </c>
      <c r="AA14" s="47" t="str">
        <f t="shared" si="35"/>
        <v>00000000</v>
      </c>
      <c r="AB14" s="47" t="str">
        <f t="shared" si="36"/>
        <v>00000000</v>
      </c>
      <c r="AC14" s="47" t="str">
        <f t="shared" si="37"/>
        <v>00000000</v>
      </c>
      <c r="AD14" s="47" t="str">
        <f t="shared" si="38"/>
        <v>00000000</v>
      </c>
      <c r="AE14" s="47" t="str">
        <f t="shared" si="39"/>
        <v>00000000</v>
      </c>
      <c r="AF14" s="47" t="str">
        <f t="shared" si="40"/>
        <v>00000000</v>
      </c>
      <c r="AG14" s="47" t="str">
        <f t="shared" si="41"/>
        <v>00000000</v>
      </c>
      <c r="AH14" s="47" t="str">
        <f t="shared" si="42"/>
        <v>00000000</v>
      </c>
      <c r="AI14" s="44"/>
      <c r="AJ14" s="44"/>
      <c r="AK14" s="44"/>
      <c r="AL14" s="59" t="s">
        <v>453</v>
      </c>
      <c r="AM14" s="94" t="s">
        <v>22</v>
      </c>
      <c r="AN14" s="133" t="s">
        <v>89</v>
      </c>
      <c r="AO14" s="102" t="str">
        <f>MID($H2,1,2)</f>
        <v>00</v>
      </c>
      <c r="AP14" s="134" t="str">
        <f>IF(BIN2DEC(AO14)&gt;0,"!!!!CRC ERROR!!!","link stable")</f>
        <v>link stable</v>
      </c>
      <c r="AQ14" s="44"/>
      <c r="AR14" s="44"/>
      <c r="AS14" s="44"/>
      <c r="AT14" s="44"/>
      <c r="AU14" s="44"/>
      <c r="AV14" s="56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57"/>
    </row>
    <row r="15" spans="1:65" x14ac:dyDescent="0.3">
      <c r="A15" s="26" t="s">
        <v>154</v>
      </c>
      <c r="B15" s="47" t="str">
        <f t="shared" si="9"/>
        <v>00</v>
      </c>
      <c r="C15" s="47" t="str">
        <f t="shared" si="10"/>
        <v>00</v>
      </c>
      <c r="D15" s="47" t="str">
        <f t="shared" si="11"/>
        <v>00</v>
      </c>
      <c r="E15" s="47" t="str">
        <f t="shared" si="12"/>
        <v>00</v>
      </c>
      <c r="F15" s="47" t="str">
        <f t="shared" si="13"/>
        <v>00</v>
      </c>
      <c r="G15" s="47" t="str">
        <f t="shared" si="14"/>
        <v>00</v>
      </c>
      <c r="H15" s="47" t="str">
        <f t="shared" si="15"/>
        <v>00</v>
      </c>
      <c r="I15" s="47" t="str">
        <f t="shared" si="16"/>
        <v>00</v>
      </c>
      <c r="J15" s="47" t="str">
        <f t="shared" si="17"/>
        <v>00</v>
      </c>
      <c r="K15" s="47" t="str">
        <f t="shared" si="18"/>
        <v>00</v>
      </c>
      <c r="L15" s="47" t="str">
        <f t="shared" si="19"/>
        <v>00</v>
      </c>
      <c r="M15" s="47" t="str">
        <f t="shared" si="20"/>
        <v>00</v>
      </c>
      <c r="N15" s="47" t="str">
        <f t="shared" si="21"/>
        <v>00</v>
      </c>
      <c r="O15" s="47" t="str">
        <f t="shared" si="22"/>
        <v>00</v>
      </c>
      <c r="P15" s="47" t="str">
        <f t="shared" si="23"/>
        <v>00</v>
      </c>
      <c r="Q15" s="47" t="str">
        <f t="shared" si="24"/>
        <v>00</v>
      </c>
      <c r="R15" s="53"/>
      <c r="S15" s="47" t="str">
        <f t="shared" si="27"/>
        <v>00000000</v>
      </c>
      <c r="T15" s="47" t="str">
        <f t="shared" si="28"/>
        <v>00000000</v>
      </c>
      <c r="U15" s="47" t="str">
        <f t="shared" si="29"/>
        <v>00000000</v>
      </c>
      <c r="V15" s="47" t="str">
        <f t="shared" si="30"/>
        <v>00000000</v>
      </c>
      <c r="W15" s="47" t="str">
        <f t="shared" si="31"/>
        <v>00000000</v>
      </c>
      <c r="X15" s="47" t="str">
        <f t="shared" si="32"/>
        <v>00000000</v>
      </c>
      <c r="Y15" s="47" t="str">
        <f t="shared" si="33"/>
        <v>00000000</v>
      </c>
      <c r="Z15" s="47" t="str">
        <f t="shared" si="34"/>
        <v>00000000</v>
      </c>
      <c r="AA15" s="47" t="str">
        <f t="shared" si="35"/>
        <v>00000000</v>
      </c>
      <c r="AB15" s="47" t="str">
        <f t="shared" si="36"/>
        <v>00000000</v>
      </c>
      <c r="AC15" s="47" t="str">
        <f t="shared" si="37"/>
        <v>00000000</v>
      </c>
      <c r="AD15" s="47" t="str">
        <f t="shared" si="38"/>
        <v>00000000</v>
      </c>
      <c r="AE15" s="47" t="str">
        <f t="shared" si="39"/>
        <v>00000000</v>
      </c>
      <c r="AF15" s="47" t="str">
        <f t="shared" si="40"/>
        <v>00000000</v>
      </c>
      <c r="AG15" s="47" t="str">
        <f t="shared" si="41"/>
        <v>00000000</v>
      </c>
      <c r="AH15" s="47" t="str">
        <f t="shared" si="42"/>
        <v>00000000</v>
      </c>
      <c r="AI15" s="44"/>
      <c r="AJ15" s="44"/>
      <c r="AK15" s="44"/>
      <c r="AL15" s="59" t="s">
        <v>454</v>
      </c>
      <c r="AM15" s="90" t="s">
        <v>23</v>
      </c>
      <c r="AN15" s="47" t="s">
        <v>89</v>
      </c>
      <c r="AO15" s="88" t="str">
        <f>MID($I2,1,2)</f>
        <v>00</v>
      </c>
      <c r="AP15" s="104" t="str">
        <f>IF(BIN2DEC(AO15)&gt;0,"!!!!CRC ERROR!!!","link stable")</f>
        <v>link stable</v>
      </c>
      <c r="AQ15" s="44"/>
      <c r="AR15" s="44"/>
      <c r="AS15" s="44"/>
      <c r="AT15" s="44"/>
      <c r="AU15" s="44"/>
      <c r="AV15" s="56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57"/>
    </row>
    <row r="16" spans="1:65" x14ac:dyDescent="0.3">
      <c r="A16" s="26" t="s">
        <v>163</v>
      </c>
      <c r="B16" s="47" t="str">
        <f t="shared" si="9"/>
        <v>00</v>
      </c>
      <c r="C16" s="47" t="str">
        <f t="shared" si="10"/>
        <v>00</v>
      </c>
      <c r="D16" s="47" t="str">
        <f t="shared" si="11"/>
        <v>00</v>
      </c>
      <c r="E16" s="47" t="str">
        <f t="shared" si="12"/>
        <v>00</v>
      </c>
      <c r="F16" s="47" t="str">
        <f t="shared" si="13"/>
        <v>00</v>
      </c>
      <c r="G16" s="47" t="str">
        <f t="shared" si="14"/>
        <v>00</v>
      </c>
      <c r="H16" s="47" t="str">
        <f t="shared" si="15"/>
        <v>00</v>
      </c>
      <c r="I16" s="47" t="str">
        <f t="shared" si="16"/>
        <v>00</v>
      </c>
      <c r="J16" s="47" t="str">
        <f t="shared" si="17"/>
        <v>00</v>
      </c>
      <c r="K16" s="47" t="str">
        <f t="shared" si="18"/>
        <v>00</v>
      </c>
      <c r="L16" s="47" t="str">
        <f t="shared" si="19"/>
        <v>00</v>
      </c>
      <c r="M16" s="47" t="str">
        <f t="shared" si="20"/>
        <v>00</v>
      </c>
      <c r="N16" s="47" t="str">
        <f t="shared" si="21"/>
        <v>00</v>
      </c>
      <c r="O16" s="47" t="str">
        <f t="shared" si="22"/>
        <v>00</v>
      </c>
      <c r="P16" s="47" t="str">
        <f t="shared" si="23"/>
        <v>00</v>
      </c>
      <c r="Q16" s="47" t="str">
        <f t="shared" si="24"/>
        <v>00</v>
      </c>
      <c r="R16" s="53"/>
      <c r="S16" s="47" t="str">
        <f t="shared" ref="S16:S17" si="43">TEXT(HEX2BIN(B16),"00000000")</f>
        <v>00000000</v>
      </c>
      <c r="T16" s="47" t="str">
        <f t="shared" ref="T16:T17" si="44">TEXT(HEX2BIN(C16),"00000000")</f>
        <v>00000000</v>
      </c>
      <c r="U16" s="47" t="str">
        <f t="shared" ref="U16:U17" si="45">TEXT(HEX2BIN(D16),"00000000")</f>
        <v>00000000</v>
      </c>
      <c r="V16" s="47" t="str">
        <f t="shared" ref="V16:V17" si="46">TEXT(HEX2BIN(E16),"00000000")</f>
        <v>00000000</v>
      </c>
      <c r="W16" s="47" t="str">
        <f t="shared" ref="W16:W17" si="47">TEXT(HEX2BIN(F16),"00000000")</f>
        <v>00000000</v>
      </c>
      <c r="X16" s="47" t="str">
        <f t="shared" ref="X16:X17" si="48">TEXT(HEX2BIN(G16),"00000000")</f>
        <v>00000000</v>
      </c>
      <c r="Y16" s="47" t="str">
        <f t="shared" ref="Y16:Y17" si="49">TEXT(HEX2BIN(H16),"00000000")</f>
        <v>00000000</v>
      </c>
      <c r="Z16" s="47" t="str">
        <f t="shared" ref="Z16:Z17" si="50">TEXT(HEX2BIN(I16),"00000000")</f>
        <v>00000000</v>
      </c>
      <c r="AA16" s="47" t="str">
        <f t="shared" ref="AA16:AA17" si="51">TEXT(HEX2BIN(J16),"00000000")</f>
        <v>00000000</v>
      </c>
      <c r="AB16" s="47" t="str">
        <f t="shared" ref="AB16:AB17" si="52">TEXT(HEX2BIN(K16),"00000000")</f>
        <v>00000000</v>
      </c>
      <c r="AC16" s="47" t="str">
        <f t="shared" ref="AC16:AC17" si="53">TEXT(HEX2BIN(L16),"00000000")</f>
        <v>00000000</v>
      </c>
      <c r="AD16" s="47" t="str">
        <f t="shared" ref="AD16:AD17" si="54">TEXT(HEX2BIN(M16),"00000000")</f>
        <v>00000000</v>
      </c>
      <c r="AE16" s="47" t="str">
        <f t="shared" ref="AE16:AE17" si="55">TEXT(HEX2BIN(N16),"00000000")</f>
        <v>00000000</v>
      </c>
      <c r="AF16" s="47" t="str">
        <f t="shared" ref="AF16:AF17" si="56">TEXT(HEX2BIN(O16),"00000000")</f>
        <v>00000000</v>
      </c>
      <c r="AG16" s="47" t="str">
        <f t="shared" ref="AG16:AG17" si="57">TEXT(HEX2BIN(P16),"00000000")</f>
        <v>00000000</v>
      </c>
      <c r="AH16" s="47" t="str">
        <f t="shared" ref="AH16:AH17" si="58">TEXT(HEX2BIN(Q16),"00000000")</f>
        <v>00000000</v>
      </c>
      <c r="AI16" s="44"/>
      <c r="AJ16" s="44"/>
      <c r="AK16" s="44"/>
      <c r="AL16" s="59" t="s">
        <v>455</v>
      </c>
      <c r="AM16" s="90" t="s">
        <v>456</v>
      </c>
      <c r="AN16" s="47" t="s">
        <v>457</v>
      </c>
      <c r="AO16" s="88" t="str">
        <f>MID($J2,1,2)</f>
        <v>86</v>
      </c>
      <c r="AP16" s="68"/>
      <c r="AQ16" s="44"/>
      <c r="AR16" s="44" t="s">
        <v>458</v>
      </c>
      <c r="AS16" s="44"/>
      <c r="AT16" s="44"/>
      <c r="AU16" s="44"/>
      <c r="AV16" s="56"/>
      <c r="AW16" s="55"/>
      <c r="AX16" s="176" t="s">
        <v>75</v>
      </c>
      <c r="AY16" s="176"/>
      <c r="AZ16" s="176"/>
      <c r="BA16" s="1" t="s">
        <v>19</v>
      </c>
      <c r="BB16" s="1" t="s">
        <v>2</v>
      </c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57"/>
    </row>
    <row r="17" spans="1:65" x14ac:dyDescent="0.3">
      <c r="A17" s="26" t="s">
        <v>173</v>
      </c>
      <c r="B17" s="47" t="str">
        <f t="shared" si="9"/>
        <v>00</v>
      </c>
      <c r="C17" s="47" t="str">
        <f t="shared" si="10"/>
        <v>03</v>
      </c>
      <c r="D17" s="47" t="str">
        <f t="shared" si="11"/>
        <v>06</v>
      </c>
      <c r="E17" s="47" t="str">
        <f t="shared" si="12"/>
        <v>00</v>
      </c>
      <c r="F17" s="47" t="str">
        <f t="shared" si="13"/>
        <v>07</v>
      </c>
      <c r="G17" s="47" t="str">
        <f t="shared" si="14"/>
        <v>18</v>
      </c>
      <c r="H17" s="47" t="str">
        <f t="shared" si="15"/>
        <v>25</v>
      </c>
      <c r="I17" s="47" t="str">
        <f t="shared" si="16"/>
        <v>00</v>
      </c>
      <c r="J17" s="47" t="str">
        <f t="shared" si="17"/>
        <v>00</v>
      </c>
      <c r="K17" s="47" t="str">
        <f t="shared" si="18"/>
        <v>00</v>
      </c>
      <c r="L17" s="47" t="str">
        <f t="shared" si="19"/>
        <v>00</v>
      </c>
      <c r="M17" s="47" t="str">
        <f t="shared" si="20"/>
        <v>00</v>
      </c>
      <c r="N17" s="47" t="str">
        <f t="shared" si="21"/>
        <v>00</v>
      </c>
      <c r="O17" s="47" t="str">
        <f t="shared" si="22"/>
        <v>00</v>
      </c>
      <c r="P17" s="47" t="str">
        <f t="shared" si="23"/>
        <v>00</v>
      </c>
      <c r="Q17" s="47" t="str">
        <f t="shared" si="24"/>
        <v>00</v>
      </c>
      <c r="R17" s="62"/>
      <c r="S17" s="47" t="str">
        <f t="shared" si="43"/>
        <v>00000000</v>
      </c>
      <c r="T17" s="47" t="str">
        <f t="shared" si="44"/>
        <v>00000011</v>
      </c>
      <c r="U17" s="47" t="str">
        <f t="shared" si="45"/>
        <v>00000110</v>
      </c>
      <c r="V17" s="47" t="str">
        <f t="shared" si="46"/>
        <v>00000000</v>
      </c>
      <c r="W17" s="47" t="str">
        <f t="shared" si="47"/>
        <v>00000111</v>
      </c>
      <c r="X17" s="47" t="str">
        <f t="shared" si="48"/>
        <v>00011000</v>
      </c>
      <c r="Y17" s="47" t="str">
        <f t="shared" si="49"/>
        <v>00100101</v>
      </c>
      <c r="Z17" s="47" t="str">
        <f t="shared" si="50"/>
        <v>00000000</v>
      </c>
      <c r="AA17" s="47" t="str">
        <f t="shared" si="51"/>
        <v>00000000</v>
      </c>
      <c r="AB17" s="47" t="str">
        <f t="shared" si="52"/>
        <v>00000000</v>
      </c>
      <c r="AC17" s="47" t="str">
        <f t="shared" si="53"/>
        <v>00000000</v>
      </c>
      <c r="AD17" s="47" t="str">
        <f t="shared" si="54"/>
        <v>00000000</v>
      </c>
      <c r="AE17" s="47" t="str">
        <f t="shared" si="55"/>
        <v>00000000</v>
      </c>
      <c r="AF17" s="47" t="str">
        <f t="shared" si="56"/>
        <v>00000000</v>
      </c>
      <c r="AG17" s="47" t="str">
        <f t="shared" si="57"/>
        <v>00000000</v>
      </c>
      <c r="AH17" s="47" t="str">
        <f t="shared" si="58"/>
        <v>00000000</v>
      </c>
      <c r="AI17" s="44"/>
      <c r="AJ17" s="44"/>
      <c r="AK17" s="44"/>
      <c r="AL17" s="59" t="s">
        <v>459</v>
      </c>
      <c r="AM17" s="90" t="s">
        <v>460</v>
      </c>
      <c r="AN17" s="47" t="s">
        <v>461</v>
      </c>
      <c r="AO17" s="88" t="str">
        <f>MID($K2,1,2)</f>
        <v>cd</v>
      </c>
      <c r="AP17" s="68"/>
      <c r="AQ17" s="44"/>
      <c r="AR17" s="44" t="s">
        <v>462</v>
      </c>
      <c r="AS17" s="44" t="s">
        <v>463</v>
      </c>
      <c r="AT17" s="44"/>
      <c r="AU17" s="44"/>
      <c r="AV17" s="56"/>
      <c r="AW17" s="2" t="s">
        <v>464</v>
      </c>
      <c r="AX17" s="177" t="s">
        <v>395</v>
      </c>
      <c r="AY17" s="177"/>
      <c r="AZ17" s="177"/>
      <c r="BA17" s="58" t="str">
        <f>AN26</f>
        <v>10111110</v>
      </c>
      <c r="BB17" s="58" t="str">
        <f>AO26</f>
        <v>10111110</v>
      </c>
      <c r="BC17" s="44"/>
      <c r="BD17" s="44"/>
      <c r="BE17" s="44"/>
      <c r="BF17" s="44"/>
      <c r="BG17" s="55"/>
      <c r="BH17" s="176" t="s">
        <v>75</v>
      </c>
      <c r="BI17" s="176"/>
      <c r="BJ17" s="176"/>
      <c r="BK17" s="1" t="s">
        <v>19</v>
      </c>
      <c r="BL17" s="1" t="s">
        <v>2</v>
      </c>
      <c r="BM17" s="57"/>
    </row>
    <row r="18" spans="1:65" x14ac:dyDescent="0.3">
      <c r="A18" s="44"/>
      <c r="B18" s="44"/>
      <c r="C18" s="51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51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59"/>
      <c r="AM18" s="91" t="s">
        <v>465</v>
      </c>
      <c r="AN18" s="47"/>
      <c r="AO18" s="88"/>
      <c r="AP18" s="68"/>
      <c r="AQ18" s="44"/>
      <c r="AR18" s="44" t="s">
        <v>466</v>
      </c>
      <c r="AS18" s="44" t="s">
        <v>467</v>
      </c>
      <c r="AT18" s="44"/>
      <c r="AU18" s="44"/>
      <c r="AV18" s="56"/>
      <c r="AW18" s="55" t="s">
        <v>468</v>
      </c>
      <c r="AX18" s="175" t="s">
        <v>469</v>
      </c>
      <c r="AY18" s="175"/>
      <c r="AZ18" s="175"/>
      <c r="BA18" s="47" t="str">
        <f>MID($BA17,1,1)</f>
        <v>1</v>
      </c>
      <c r="BB18" s="47" t="str">
        <f>MID($BB17,1,1)</f>
        <v>1</v>
      </c>
      <c r="BC18" s="44"/>
      <c r="BD18" s="44"/>
      <c r="BE18" s="44"/>
      <c r="BF18" s="44"/>
      <c r="BG18" s="2" t="s">
        <v>470</v>
      </c>
      <c r="BH18" s="177" t="s">
        <v>395</v>
      </c>
      <c r="BI18" s="177"/>
      <c r="BJ18" s="177"/>
      <c r="BK18" s="58" t="str">
        <f>AN37</f>
        <v>01001100</v>
      </c>
      <c r="BL18" s="58" t="str">
        <f>AO37</f>
        <v>01001100</v>
      </c>
      <c r="BM18" s="57"/>
    </row>
    <row r="19" spans="1:65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59" t="s">
        <v>471</v>
      </c>
      <c r="AM19" s="90" t="s">
        <v>56</v>
      </c>
      <c r="AN19" s="47" t="s">
        <v>472</v>
      </c>
      <c r="AO19" s="88" t="str">
        <f>MID($L2,1,2)</f>
        <v>09</v>
      </c>
      <c r="AP19" s="68"/>
      <c r="AQ19" s="44"/>
      <c r="AR19" s="44" t="s">
        <v>473</v>
      </c>
      <c r="AS19" s="44" t="s">
        <v>474</v>
      </c>
      <c r="AT19" s="44"/>
      <c r="AU19" s="44"/>
      <c r="AV19" s="56"/>
      <c r="AW19" s="55" t="s">
        <v>475</v>
      </c>
      <c r="AX19" s="175" t="s">
        <v>476</v>
      </c>
      <c r="AY19" s="175"/>
      <c r="AZ19" s="175"/>
      <c r="BA19" s="47" t="str">
        <f>MID($BA17,3,1)</f>
        <v>1</v>
      </c>
      <c r="BB19" s="47" t="str">
        <f>MID($BB17,3,1)</f>
        <v>1</v>
      </c>
      <c r="BC19" s="44"/>
      <c r="BD19" s="44"/>
      <c r="BE19" s="44"/>
      <c r="BF19" s="44"/>
      <c r="BG19" s="55" t="s">
        <v>477</v>
      </c>
      <c r="BH19" s="175" t="s">
        <v>478</v>
      </c>
      <c r="BI19" s="175"/>
      <c r="BJ19" s="175"/>
      <c r="BK19" s="47" t="str">
        <f>MID($BK18,1,1)</f>
        <v>0</v>
      </c>
      <c r="BL19" s="47" t="str">
        <f>MID($BL18,1,1)</f>
        <v>0</v>
      </c>
      <c r="BM19" s="57"/>
    </row>
    <row r="20" spans="1:65" x14ac:dyDescent="0.3">
      <c r="A20" s="168" t="s">
        <v>479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59" t="s">
        <v>480</v>
      </c>
      <c r="AM20" s="90" t="s">
        <v>58</v>
      </c>
      <c r="AN20" s="47">
        <v>11111111</v>
      </c>
      <c r="AO20" s="88" t="str">
        <f>MID($AD2,1,8)</f>
        <v>11111111</v>
      </c>
      <c r="AP20" s="68"/>
      <c r="AQ20" s="44"/>
      <c r="AR20" s="44" t="s">
        <v>481</v>
      </c>
      <c r="AS20" s="44" t="s">
        <v>482</v>
      </c>
      <c r="AT20" s="44"/>
      <c r="AU20" s="44"/>
      <c r="AV20" s="56"/>
      <c r="AW20" s="55" t="s">
        <v>483</v>
      </c>
      <c r="AX20" s="175" t="s">
        <v>484</v>
      </c>
      <c r="AY20" s="175"/>
      <c r="AZ20" s="175"/>
      <c r="BA20" s="47" t="str">
        <f>MID($BA17,4,1)</f>
        <v>1</v>
      </c>
      <c r="BB20" s="47" t="str">
        <f>MID($BB17,4,1)</f>
        <v>1</v>
      </c>
      <c r="BC20" s="44"/>
      <c r="BD20" s="44"/>
      <c r="BE20" s="44"/>
      <c r="BF20" s="44"/>
      <c r="BG20" s="55" t="s">
        <v>485</v>
      </c>
      <c r="BH20" s="175" t="s">
        <v>486</v>
      </c>
      <c r="BI20" s="175"/>
      <c r="BJ20" s="175"/>
      <c r="BK20" s="47" t="str">
        <f>MID($BK18,2,1)</f>
        <v>1</v>
      </c>
      <c r="BL20" s="47" t="str">
        <f>MID($BL18,2,1)</f>
        <v>1</v>
      </c>
      <c r="BM20" s="57"/>
    </row>
    <row r="21" spans="1:65" x14ac:dyDescent="0.3">
      <c r="A21" s="44" t="s">
        <v>193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55"/>
      <c r="AM21" s="91" t="s">
        <v>487</v>
      </c>
      <c r="AN21" s="47"/>
      <c r="AO21" s="88"/>
      <c r="AP21" s="68"/>
      <c r="AQ21" s="44"/>
      <c r="AR21" s="44" t="s">
        <v>488</v>
      </c>
      <c r="AS21" s="44" t="s">
        <v>489</v>
      </c>
      <c r="AT21" s="44"/>
      <c r="AU21" s="44"/>
      <c r="AV21" s="56"/>
      <c r="AW21" s="55" t="s">
        <v>490</v>
      </c>
      <c r="AX21" s="175" t="s">
        <v>491</v>
      </c>
      <c r="AY21" s="175"/>
      <c r="AZ21" s="175"/>
      <c r="BA21" s="47" t="str">
        <f>MID($BA17,5,1)</f>
        <v>1</v>
      </c>
      <c r="BB21" s="47" t="str">
        <f>MID($BB17,5,1)</f>
        <v>1</v>
      </c>
      <c r="BC21" s="44"/>
      <c r="BD21" s="44"/>
      <c r="BE21" s="44"/>
      <c r="BF21" s="44"/>
      <c r="BG21" s="55" t="s">
        <v>492</v>
      </c>
      <c r="BH21" s="175" t="s">
        <v>493</v>
      </c>
      <c r="BI21" s="175"/>
      <c r="BJ21" s="175"/>
      <c r="BK21" s="47" t="str">
        <f>MID($BK18,3,1)</f>
        <v>0</v>
      </c>
      <c r="BL21" s="47" t="str">
        <f>MID($BL18,3,1)</f>
        <v>0</v>
      </c>
      <c r="BM21" s="57"/>
    </row>
    <row r="22" spans="1:65" x14ac:dyDescent="0.3">
      <c r="A22" s="44" t="s">
        <v>2039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55"/>
      <c r="AE22" s="176" t="s">
        <v>75</v>
      </c>
      <c r="AF22" s="176"/>
      <c r="AG22" s="176"/>
      <c r="AH22" s="1" t="s">
        <v>19</v>
      </c>
      <c r="AI22" s="1" t="s">
        <v>2</v>
      </c>
      <c r="AJ22" s="44"/>
      <c r="AK22" s="44"/>
      <c r="AL22" s="59" t="s">
        <v>494</v>
      </c>
      <c r="AM22" s="90" t="s">
        <v>495</v>
      </c>
      <c r="AN22" s="47" t="s">
        <v>496</v>
      </c>
      <c r="AO22" s="88" t="str">
        <f>MID($AE2,3,3)</f>
        <v>011</v>
      </c>
      <c r="AP22" s="128" t="str">
        <f>IF(AO22="000", "POC",
 IF(AO22="001", "EVT",
 IF(AO22="010", "DVT",
 IF(AO22="011", "PVT",
 IF(AO22="100", "MP", "Unknown")))))</f>
        <v>PVT</v>
      </c>
      <c r="AQ22" s="44"/>
      <c r="AR22" s="44" t="s">
        <v>497</v>
      </c>
      <c r="AS22" s="44" t="s">
        <v>498</v>
      </c>
      <c r="AT22" s="44"/>
      <c r="AU22" s="44"/>
      <c r="AV22" s="56"/>
      <c r="AW22" s="55" t="s">
        <v>499</v>
      </c>
      <c r="AX22" s="175" t="s">
        <v>500</v>
      </c>
      <c r="AY22" s="175"/>
      <c r="AZ22" s="175"/>
      <c r="BA22" s="47" t="str">
        <f>MID($BA17,6,1)</f>
        <v>1</v>
      </c>
      <c r="BB22" s="47" t="str">
        <f>MID($BB17,6,1)</f>
        <v>1</v>
      </c>
      <c r="BC22" s="44"/>
      <c r="BD22" s="44"/>
      <c r="BE22" s="44"/>
      <c r="BF22" s="44"/>
      <c r="BG22" s="55" t="s">
        <v>501</v>
      </c>
      <c r="BH22" s="175" t="s">
        <v>502</v>
      </c>
      <c r="BI22" s="175"/>
      <c r="BJ22" s="175"/>
      <c r="BK22" s="47" t="str">
        <f>MID($BK18,4,1)</f>
        <v>0</v>
      </c>
      <c r="BL22" s="47" t="str">
        <f>MID($BL18,4,1)</f>
        <v>0</v>
      </c>
      <c r="BM22" s="57"/>
    </row>
    <row r="23" spans="1:65" x14ac:dyDescent="0.3">
      <c r="A23" s="44" t="s">
        <v>2040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2" t="s">
        <v>480</v>
      </c>
      <c r="AE23" s="177" t="s">
        <v>503</v>
      </c>
      <c r="AF23" s="177"/>
      <c r="AG23" s="177"/>
      <c r="AH23" s="58">
        <f>AN20</f>
        <v>11111111</v>
      </c>
      <c r="AI23" s="58" t="str">
        <f>AO20</f>
        <v>11111111</v>
      </c>
      <c r="AJ23" s="44"/>
      <c r="AK23" s="44"/>
      <c r="AL23" s="59" t="s">
        <v>504</v>
      </c>
      <c r="AM23" s="90" t="s">
        <v>505</v>
      </c>
      <c r="AN23" s="47" t="s">
        <v>506</v>
      </c>
      <c r="AO23" s="88" t="str">
        <f>MID($AE2,6,3)</f>
        <v>011</v>
      </c>
      <c r="AP23" s="128" t="str">
        <f>IF(AO23="000", "POC",
 IF(AO23="001", "EVT",
 IF(AO23="010", "DVT",
 IF(AO23="011", "PVT",
 IF(AO23="100", "MP", "Unknown")))))</f>
        <v>PVT</v>
      </c>
      <c r="AQ23" s="44"/>
      <c r="AR23" s="44" t="s">
        <v>507</v>
      </c>
      <c r="AS23" s="44" t="s">
        <v>508</v>
      </c>
      <c r="AT23" s="44"/>
      <c r="AU23" s="44"/>
      <c r="AV23" s="56"/>
      <c r="AW23" s="55" t="s">
        <v>509</v>
      </c>
      <c r="AX23" s="175" t="s">
        <v>510</v>
      </c>
      <c r="AY23" s="175"/>
      <c r="AZ23" s="175"/>
      <c r="BA23" s="47" t="str">
        <f>MID($BA17,7,1)</f>
        <v>1</v>
      </c>
      <c r="BB23" s="47" t="str">
        <f>MID($BB17,7,1)</f>
        <v>1</v>
      </c>
      <c r="BC23" s="44"/>
      <c r="BD23" s="44"/>
      <c r="BE23" s="44"/>
      <c r="BF23" s="44"/>
      <c r="BG23" s="55" t="s">
        <v>511</v>
      </c>
      <c r="BH23" s="175" t="s">
        <v>512</v>
      </c>
      <c r="BI23" s="175"/>
      <c r="BJ23" s="175"/>
      <c r="BK23" s="47" t="str">
        <f>MID($BK18,5,1)</f>
        <v>1</v>
      </c>
      <c r="BL23" s="47" t="str">
        <f>MID($BL18,5,1)</f>
        <v>1</v>
      </c>
      <c r="BM23" s="57"/>
    </row>
    <row r="24" spans="1:65" x14ac:dyDescent="0.3">
      <c r="A24" s="44" t="s">
        <v>2041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55" t="s">
        <v>513</v>
      </c>
      <c r="AE24" s="175" t="s">
        <v>514</v>
      </c>
      <c r="AF24" s="175"/>
      <c r="AG24" s="175"/>
      <c r="AH24" s="47" t="str">
        <f>MID($AH23,1,1)</f>
        <v>1</v>
      </c>
      <c r="AI24" s="47" t="str">
        <f>MID($AI23,1,1)</f>
        <v>1</v>
      </c>
      <c r="AJ24" s="44"/>
      <c r="AK24" s="44"/>
      <c r="AL24" s="55"/>
      <c r="AM24" s="91" t="s">
        <v>515</v>
      </c>
      <c r="AN24" s="47"/>
      <c r="AO24" s="88"/>
      <c r="AP24" s="68"/>
      <c r="AQ24" s="44"/>
      <c r="AR24" s="44" t="s">
        <v>516</v>
      </c>
      <c r="AS24" s="44" t="s">
        <v>517</v>
      </c>
      <c r="AT24" s="44"/>
      <c r="AU24" s="44"/>
      <c r="AV24" s="56"/>
      <c r="AW24" s="55" t="s">
        <v>518</v>
      </c>
      <c r="AX24" s="175" t="s">
        <v>519</v>
      </c>
      <c r="AY24" s="175"/>
      <c r="AZ24" s="175"/>
      <c r="BA24" s="47" t="str">
        <f>MID($BA17,8,1)</f>
        <v>0</v>
      </c>
      <c r="BB24" s="47" t="str">
        <f>MID($BB17,8,1)</f>
        <v>0</v>
      </c>
      <c r="BC24" s="44"/>
      <c r="BD24" s="44"/>
      <c r="BE24" s="44"/>
      <c r="BF24" s="44"/>
      <c r="BG24" s="55" t="s">
        <v>520</v>
      </c>
      <c r="BH24" s="175" t="s">
        <v>521</v>
      </c>
      <c r="BI24" s="175"/>
      <c r="BJ24" s="175"/>
      <c r="BK24" s="47" t="str">
        <f>MID($BK18,6,1)</f>
        <v>1</v>
      </c>
      <c r="BL24" s="47" t="str">
        <f>MID($BL18,6,1)</f>
        <v>1</v>
      </c>
      <c r="BM24" s="57"/>
    </row>
    <row r="25" spans="1:65" x14ac:dyDescent="0.3">
      <c r="A25" s="44" t="s">
        <v>522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55" t="s">
        <v>523</v>
      </c>
      <c r="AE25" s="175" t="s">
        <v>524</v>
      </c>
      <c r="AF25" s="175"/>
      <c r="AG25" s="175"/>
      <c r="AH25" s="47" t="str">
        <f>MID($AH23,2,1)</f>
        <v>1</v>
      </c>
      <c r="AI25" s="47" t="str">
        <f>MID($AI23,2,1)</f>
        <v>1</v>
      </c>
      <c r="AJ25" s="44"/>
      <c r="AK25" s="44"/>
      <c r="AL25" s="59" t="s">
        <v>394</v>
      </c>
      <c r="AM25" s="90" t="s">
        <v>395</v>
      </c>
      <c r="AN25" s="61" t="s">
        <v>525</v>
      </c>
      <c r="AO25" s="88" t="str">
        <f>MID($S3,1,8)</f>
        <v>10111111</v>
      </c>
      <c r="AP25" s="68"/>
      <c r="AQ25" s="44"/>
      <c r="AR25" s="44" t="s">
        <v>526</v>
      </c>
      <c r="AS25" s="44" t="s">
        <v>527</v>
      </c>
      <c r="AT25" s="44"/>
      <c r="AU25" s="44"/>
      <c r="AV25" s="56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55" t="s">
        <v>528</v>
      </c>
      <c r="BH25" s="175" t="s">
        <v>529</v>
      </c>
      <c r="BI25" s="175"/>
      <c r="BJ25" s="175"/>
      <c r="BK25" s="47" t="str">
        <f>MID($BK18,7,1)</f>
        <v>0</v>
      </c>
      <c r="BL25" s="47" t="str">
        <f>MID($BL18,7,1)</f>
        <v>0</v>
      </c>
      <c r="BM25" s="57"/>
    </row>
    <row r="26" spans="1:65" x14ac:dyDescent="0.3">
      <c r="A26" s="44" t="s">
        <v>232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55" t="s">
        <v>530</v>
      </c>
      <c r="AE26" s="175" t="s">
        <v>531</v>
      </c>
      <c r="AF26" s="175"/>
      <c r="AG26" s="175"/>
      <c r="AH26" s="47" t="str">
        <f>MID($AH23,3,1)</f>
        <v>1</v>
      </c>
      <c r="AI26" s="47" t="str">
        <f>MID($AI23,3,1)</f>
        <v>1</v>
      </c>
      <c r="AJ26" s="44"/>
      <c r="AK26" s="44"/>
      <c r="AL26" s="59" t="s">
        <v>464</v>
      </c>
      <c r="AM26" s="90" t="s">
        <v>395</v>
      </c>
      <c r="AN26" s="61" t="s">
        <v>532</v>
      </c>
      <c r="AO26" s="88" t="str">
        <f>MID($T3,1,8)</f>
        <v>10111110</v>
      </c>
      <c r="AP26" s="68"/>
      <c r="AQ26" s="44"/>
      <c r="AR26" s="44"/>
      <c r="AS26" s="44"/>
      <c r="AT26" s="44"/>
      <c r="AU26" s="44"/>
      <c r="AV26" s="56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55" t="s">
        <v>533</v>
      </c>
      <c r="BH26" s="175" t="s">
        <v>534</v>
      </c>
      <c r="BI26" s="175"/>
      <c r="BJ26" s="175"/>
      <c r="BK26" s="47" t="str">
        <f>MID($BK18,8,1)</f>
        <v>0</v>
      </c>
      <c r="BL26" s="47" t="str">
        <f>MID($BL18,8,1)</f>
        <v>0</v>
      </c>
      <c r="BM26" s="57"/>
    </row>
    <row r="27" spans="1:65" x14ac:dyDescent="0.3">
      <c r="A27" s="44" t="s">
        <v>535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55" t="s">
        <v>536</v>
      </c>
      <c r="AE27" s="175" t="s">
        <v>537</v>
      </c>
      <c r="AF27" s="175"/>
      <c r="AG27" s="175"/>
      <c r="AH27" s="47" t="str">
        <f>MID($AH23,4,1)</f>
        <v>1</v>
      </c>
      <c r="AI27" s="47" t="str">
        <f>MID($AI23,4,1)</f>
        <v>1</v>
      </c>
      <c r="AJ27" s="44"/>
      <c r="AK27" s="44"/>
      <c r="AL27" s="59" t="s">
        <v>538</v>
      </c>
      <c r="AM27" s="90" t="s">
        <v>395</v>
      </c>
      <c r="AN27" s="61" t="s">
        <v>539</v>
      </c>
      <c r="AO27" s="88" t="str">
        <f>MID($U3,1,8)</f>
        <v>11101011</v>
      </c>
      <c r="AP27" s="68"/>
      <c r="AQ27" s="44"/>
      <c r="AR27" s="44" t="s">
        <v>540</v>
      </c>
      <c r="AS27" s="44"/>
      <c r="AT27" s="44"/>
      <c r="AU27" s="44"/>
      <c r="AV27" s="56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57"/>
    </row>
    <row r="28" spans="1:65" x14ac:dyDescent="0.3">
      <c r="A28" s="44" t="s">
        <v>541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55" t="s">
        <v>542</v>
      </c>
      <c r="AE28" s="175" t="s">
        <v>543</v>
      </c>
      <c r="AF28" s="175"/>
      <c r="AG28" s="175"/>
      <c r="AH28" s="47" t="str">
        <f>MID($AH23,5,1)</f>
        <v>1</v>
      </c>
      <c r="AI28" s="47" t="str">
        <f>MID($AI23,5,1)</f>
        <v>1</v>
      </c>
      <c r="AJ28" s="44"/>
      <c r="AK28" s="44"/>
      <c r="AL28" s="59" t="s">
        <v>544</v>
      </c>
      <c r="AM28" s="90" t="s">
        <v>395</v>
      </c>
      <c r="AN28" s="47" t="s">
        <v>545</v>
      </c>
      <c r="AO28" s="88" t="str">
        <f>MID($V3,1,8)</f>
        <v>11111000</v>
      </c>
      <c r="AP28" s="68"/>
      <c r="AQ28" s="44"/>
      <c r="AR28" s="44" t="s">
        <v>546</v>
      </c>
      <c r="AS28" s="44" t="s">
        <v>547</v>
      </c>
      <c r="AT28" s="44"/>
      <c r="AU28" s="44"/>
      <c r="AV28" s="56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57"/>
    </row>
    <row r="29" spans="1:65" x14ac:dyDescent="0.3">
      <c r="A29" s="44" t="s">
        <v>548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55" t="s">
        <v>549</v>
      </c>
      <c r="AE29" s="175" t="s">
        <v>550</v>
      </c>
      <c r="AF29" s="175"/>
      <c r="AG29" s="175"/>
      <c r="AH29" s="47" t="str">
        <f>MID($AH23,6,1)</f>
        <v>1</v>
      </c>
      <c r="AI29" s="47" t="str">
        <f>MID($AI23,6,1)</f>
        <v>1</v>
      </c>
      <c r="AJ29" s="44"/>
      <c r="AK29" s="44"/>
      <c r="AL29" s="59" t="s">
        <v>551</v>
      </c>
      <c r="AM29" s="90" t="s">
        <v>395</v>
      </c>
      <c r="AN29" s="47" t="s">
        <v>552</v>
      </c>
      <c r="AO29" s="88" t="str">
        <f>MID($W3,1,8)</f>
        <v>11111111</v>
      </c>
      <c r="AP29" s="68"/>
      <c r="AQ29" s="44"/>
      <c r="AR29" s="44" t="s">
        <v>553</v>
      </c>
      <c r="AS29" s="44" t="s">
        <v>554</v>
      </c>
      <c r="AT29" s="44"/>
      <c r="AU29" s="44"/>
      <c r="AV29" s="56"/>
      <c r="AW29" s="55"/>
      <c r="AX29" s="176" t="s">
        <v>75</v>
      </c>
      <c r="AY29" s="176"/>
      <c r="AZ29" s="176"/>
      <c r="BA29" s="1" t="s">
        <v>19</v>
      </c>
      <c r="BB29" s="1" t="s">
        <v>2</v>
      </c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57"/>
    </row>
    <row r="30" spans="1:65" x14ac:dyDescent="0.3">
      <c r="A30" s="44" t="s">
        <v>555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55" t="s">
        <v>556</v>
      </c>
      <c r="AE30" s="175" t="s">
        <v>557</v>
      </c>
      <c r="AF30" s="175"/>
      <c r="AG30" s="175"/>
      <c r="AH30" s="47" t="str">
        <f>MID($AH23,7,1)</f>
        <v>1</v>
      </c>
      <c r="AI30" s="47" t="str">
        <f>MID($AI23,7,1)</f>
        <v>1</v>
      </c>
      <c r="AJ30" s="44"/>
      <c r="AK30" s="44"/>
      <c r="AL30" s="59" t="s">
        <v>558</v>
      </c>
      <c r="AM30" s="90" t="s">
        <v>395</v>
      </c>
      <c r="AN30" s="47" t="s">
        <v>552</v>
      </c>
      <c r="AO30" s="88" t="str">
        <f>MID($X3,1,8)</f>
        <v>11111111</v>
      </c>
      <c r="AP30" s="68"/>
      <c r="AQ30" s="44"/>
      <c r="AR30" s="44" t="s">
        <v>559</v>
      </c>
      <c r="AS30" s="44" t="s">
        <v>560</v>
      </c>
      <c r="AT30" s="44"/>
      <c r="AU30" s="44"/>
      <c r="AV30" s="56"/>
      <c r="AW30" s="2" t="s">
        <v>538</v>
      </c>
      <c r="AX30" s="177" t="s">
        <v>395</v>
      </c>
      <c r="AY30" s="177"/>
      <c r="AZ30" s="177"/>
      <c r="BA30" s="58" t="str">
        <f>AN27</f>
        <v>11101011</v>
      </c>
      <c r="BB30" s="58" t="str">
        <f>AO27</f>
        <v>11101011</v>
      </c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57"/>
    </row>
    <row r="31" spans="1:65" x14ac:dyDescent="0.3">
      <c r="A31" s="44" t="s">
        <v>252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55" t="s">
        <v>561</v>
      </c>
      <c r="AE31" s="175" t="s">
        <v>562</v>
      </c>
      <c r="AF31" s="175"/>
      <c r="AG31" s="175"/>
      <c r="AH31" s="47" t="str">
        <f>MID($AH23,8,1)</f>
        <v>1</v>
      </c>
      <c r="AI31" s="47" t="str">
        <f>MID($AI23,8,1)</f>
        <v>1</v>
      </c>
      <c r="AJ31" s="44"/>
      <c r="AK31" s="44"/>
      <c r="AL31" s="59" t="s">
        <v>563</v>
      </c>
      <c r="AM31" s="90" t="s">
        <v>395</v>
      </c>
      <c r="AN31" s="47" t="s">
        <v>552</v>
      </c>
      <c r="AO31" s="88" t="str">
        <f>MID($Y3,1,8)</f>
        <v>11111111</v>
      </c>
      <c r="AP31" s="68"/>
      <c r="AQ31" s="44"/>
      <c r="AR31" s="44" t="s">
        <v>564</v>
      </c>
      <c r="AS31" s="44" t="s">
        <v>565</v>
      </c>
      <c r="AT31" s="44"/>
      <c r="AU31" s="44"/>
      <c r="AV31" s="56"/>
      <c r="AW31" s="55" t="s">
        <v>566</v>
      </c>
      <c r="AX31" s="175" t="s">
        <v>567</v>
      </c>
      <c r="AY31" s="175"/>
      <c r="AZ31" s="175"/>
      <c r="BA31" s="47" t="str">
        <f>MID($BA30,1,1)</f>
        <v>1</v>
      </c>
      <c r="BB31" s="47" t="str">
        <f>MID($BB30,1,1)</f>
        <v>1</v>
      </c>
      <c r="BC31" s="44"/>
      <c r="BD31" s="44"/>
      <c r="BE31" s="44"/>
      <c r="BF31" s="44"/>
      <c r="BG31" s="55"/>
      <c r="BH31" s="176" t="s">
        <v>75</v>
      </c>
      <c r="BI31" s="176"/>
      <c r="BJ31" s="176"/>
      <c r="BK31" s="1" t="s">
        <v>19</v>
      </c>
      <c r="BL31" s="1" t="s">
        <v>2</v>
      </c>
      <c r="BM31" s="57"/>
    </row>
    <row r="32" spans="1:65" x14ac:dyDescent="0.3">
      <c r="A32" s="44" t="s">
        <v>568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59" t="s">
        <v>569</v>
      </c>
      <c r="AM32" s="90" t="s">
        <v>395</v>
      </c>
      <c r="AN32" s="47" t="s">
        <v>570</v>
      </c>
      <c r="AO32" s="88" t="str">
        <f>MID($Z3,1,8)</f>
        <v>11110111</v>
      </c>
      <c r="AP32" s="68"/>
      <c r="AQ32" s="44"/>
      <c r="AR32" s="44" t="s">
        <v>571</v>
      </c>
      <c r="AS32" s="44" t="s">
        <v>572</v>
      </c>
      <c r="AT32" s="44"/>
      <c r="AU32" s="44"/>
      <c r="AV32" s="56"/>
      <c r="AW32" s="55" t="s">
        <v>573</v>
      </c>
      <c r="AX32" s="175" t="s">
        <v>574</v>
      </c>
      <c r="AY32" s="175"/>
      <c r="AZ32" s="175"/>
      <c r="BA32" s="47" t="str">
        <f>MID($BA30,2,1)</f>
        <v>1</v>
      </c>
      <c r="BB32" s="47" t="str">
        <f>MID($BB30,2,1)</f>
        <v>1</v>
      </c>
      <c r="BC32" s="44"/>
      <c r="BD32" s="44"/>
      <c r="BE32" s="44"/>
      <c r="BF32" s="44"/>
      <c r="BG32" s="2" t="s">
        <v>575</v>
      </c>
      <c r="BH32" s="177" t="s">
        <v>395</v>
      </c>
      <c r="BI32" s="177"/>
      <c r="BJ32" s="177"/>
      <c r="BK32" s="58" t="str">
        <f>AN38</f>
        <v>11011110</v>
      </c>
      <c r="BL32" s="58" t="str">
        <f>AO38</f>
        <v>11011110</v>
      </c>
      <c r="BM32" s="57"/>
    </row>
    <row r="33" spans="1:65" x14ac:dyDescent="0.3">
      <c r="A33" s="44" t="s">
        <v>259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59" t="s">
        <v>576</v>
      </c>
      <c r="AM33" s="90" t="s">
        <v>395</v>
      </c>
      <c r="AN33" s="47" t="s">
        <v>577</v>
      </c>
      <c r="AO33" s="88" t="str">
        <f>MID($AA3,1,8)</f>
        <v>10011111</v>
      </c>
      <c r="AP33" s="68"/>
      <c r="AQ33" s="44"/>
      <c r="AR33" s="44" t="s">
        <v>578</v>
      </c>
      <c r="AS33" s="44" t="s">
        <v>579</v>
      </c>
      <c r="AT33" s="44"/>
      <c r="AU33" s="44"/>
      <c r="AV33" s="56"/>
      <c r="AW33" s="55" t="s">
        <v>580</v>
      </c>
      <c r="AX33" s="175" t="s">
        <v>581</v>
      </c>
      <c r="AY33" s="175"/>
      <c r="AZ33" s="175"/>
      <c r="BA33" s="47" t="str">
        <f>MID($BA30,3,1)</f>
        <v>1</v>
      </c>
      <c r="BB33" s="47" t="str">
        <f>MID($BB30,3,1)</f>
        <v>1</v>
      </c>
      <c r="BC33" s="44"/>
      <c r="BD33" s="44"/>
      <c r="BE33" s="44"/>
      <c r="BF33" s="44"/>
      <c r="BG33" s="55" t="s">
        <v>582</v>
      </c>
      <c r="BH33" s="175" t="s">
        <v>583</v>
      </c>
      <c r="BI33" s="175"/>
      <c r="BJ33" s="175"/>
      <c r="BK33" s="47" t="str">
        <f>MID($BK32,1,1)</f>
        <v>1</v>
      </c>
      <c r="BL33" s="47" t="str">
        <f>MID($BL32,1,1)</f>
        <v>1</v>
      </c>
      <c r="BM33" s="57"/>
    </row>
    <row r="34" spans="1:65" x14ac:dyDescent="0.3">
      <c r="A34" s="44" t="s">
        <v>584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59" t="s">
        <v>585</v>
      </c>
      <c r="AM34" s="90" t="s">
        <v>395</v>
      </c>
      <c r="AN34" s="47">
        <v>1111</v>
      </c>
      <c r="AO34" s="88" t="str">
        <f>MID($AB3,5,8)</f>
        <v>1111</v>
      </c>
      <c r="AP34" s="68"/>
      <c r="AQ34" s="44"/>
      <c r="AR34" s="44" t="s">
        <v>586</v>
      </c>
      <c r="AS34" s="44" t="s">
        <v>587</v>
      </c>
      <c r="AT34" s="44"/>
      <c r="AU34" s="44"/>
      <c r="AV34" s="56"/>
      <c r="AW34" s="55" t="s">
        <v>588</v>
      </c>
      <c r="AX34" s="175" t="s">
        <v>589</v>
      </c>
      <c r="AY34" s="175"/>
      <c r="AZ34" s="175"/>
      <c r="BA34" s="47" t="str">
        <f>MID($BA30,4,1)</f>
        <v>0</v>
      </c>
      <c r="BB34" s="47" t="str">
        <f>MID($BB30,4,1)</f>
        <v>0</v>
      </c>
      <c r="BC34" s="44"/>
      <c r="BD34" s="44"/>
      <c r="BE34" s="44"/>
      <c r="BF34" s="44"/>
      <c r="BG34" s="55" t="s">
        <v>590</v>
      </c>
      <c r="BH34" s="175" t="s">
        <v>591</v>
      </c>
      <c r="BI34" s="175"/>
      <c r="BJ34" s="175"/>
      <c r="BK34" s="47" t="str">
        <f>MID($BK32,2,1)</f>
        <v>1</v>
      </c>
      <c r="BL34" s="47" t="str">
        <f>MID($BL32,2,1)</f>
        <v>1</v>
      </c>
      <c r="BM34" s="57"/>
    </row>
    <row r="35" spans="1:65" x14ac:dyDescent="0.3">
      <c r="A35" s="44" t="s">
        <v>270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55"/>
      <c r="AM35" s="91" t="s">
        <v>592</v>
      </c>
      <c r="AN35" s="47"/>
      <c r="AO35" s="88"/>
      <c r="AP35" s="68"/>
      <c r="AQ35" s="44"/>
      <c r="AR35" s="44"/>
      <c r="AS35" s="44"/>
      <c r="AT35" s="44"/>
      <c r="AU35" s="44"/>
      <c r="AV35" s="56"/>
      <c r="AW35" s="55" t="s">
        <v>593</v>
      </c>
      <c r="AX35" s="175" t="s">
        <v>594</v>
      </c>
      <c r="AY35" s="175"/>
      <c r="AZ35" s="175"/>
      <c r="BA35" s="47" t="str">
        <f>MID($BA30,5,1)</f>
        <v>1</v>
      </c>
      <c r="BB35" s="47" t="str">
        <f>MID($BB30,5,1)</f>
        <v>1</v>
      </c>
      <c r="BC35" s="44"/>
      <c r="BD35" s="44"/>
      <c r="BE35" s="44"/>
      <c r="BF35" s="44"/>
      <c r="BG35" s="55" t="s">
        <v>595</v>
      </c>
      <c r="BH35" s="175" t="s">
        <v>596</v>
      </c>
      <c r="BI35" s="175"/>
      <c r="BJ35" s="175"/>
      <c r="BK35" s="47" t="str">
        <f>MID($BK32,3,1)</f>
        <v>0</v>
      </c>
      <c r="BL35" s="47" t="str">
        <f>MID($BL32,3,1)</f>
        <v>0</v>
      </c>
      <c r="BM35" s="57"/>
    </row>
    <row r="36" spans="1:65" x14ac:dyDescent="0.3">
      <c r="A36" s="44" t="s">
        <v>276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59" t="s">
        <v>396</v>
      </c>
      <c r="AM36" s="90" t="s">
        <v>395</v>
      </c>
      <c r="AN36" s="61" t="s">
        <v>597</v>
      </c>
      <c r="AO36" s="88" t="str">
        <f>MID($S4,1,8)</f>
        <v>01100011</v>
      </c>
      <c r="AP36" s="68"/>
      <c r="AQ36" s="44"/>
      <c r="AR36" s="44"/>
      <c r="AS36" s="44"/>
      <c r="AT36" s="44"/>
      <c r="AU36" s="44"/>
      <c r="AV36" s="56"/>
      <c r="AW36" s="55" t="s">
        <v>598</v>
      </c>
      <c r="AX36" s="175" t="s">
        <v>599</v>
      </c>
      <c r="AY36" s="175"/>
      <c r="AZ36" s="175"/>
      <c r="BA36" s="47" t="str">
        <f>MID($BA30,7,1)</f>
        <v>1</v>
      </c>
      <c r="BB36" s="47" t="str">
        <f>MID($BB30,7,1)</f>
        <v>1</v>
      </c>
      <c r="BC36" s="44"/>
      <c r="BD36" s="44"/>
      <c r="BE36" s="44"/>
      <c r="BF36" s="44"/>
      <c r="BG36" s="55" t="s">
        <v>600</v>
      </c>
      <c r="BH36" s="175" t="s">
        <v>601</v>
      </c>
      <c r="BI36" s="175"/>
      <c r="BJ36" s="175"/>
      <c r="BK36" s="47" t="str">
        <f>MID($BK32,4,1)</f>
        <v>1</v>
      </c>
      <c r="BL36" s="47" t="str">
        <f>MID($BL32,4,1)</f>
        <v>1</v>
      </c>
      <c r="BM36" s="57"/>
    </row>
    <row r="37" spans="1:65" x14ac:dyDescent="0.3">
      <c r="A37" s="44" t="s">
        <v>2042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59" t="s">
        <v>470</v>
      </c>
      <c r="AM37" s="90" t="s">
        <v>395</v>
      </c>
      <c r="AN37" s="61" t="s">
        <v>602</v>
      </c>
      <c r="AO37" s="88" t="str">
        <f>MID($T4,1,8)</f>
        <v>01001100</v>
      </c>
      <c r="AP37" s="68"/>
      <c r="AQ37" s="44"/>
      <c r="AR37" s="44"/>
      <c r="AS37" s="44"/>
      <c r="AT37" s="44"/>
      <c r="AU37" s="44"/>
      <c r="AV37" s="56"/>
      <c r="AW37" s="55" t="s">
        <v>603</v>
      </c>
      <c r="AX37" s="175" t="s">
        <v>604</v>
      </c>
      <c r="AY37" s="175"/>
      <c r="AZ37" s="175"/>
      <c r="BA37" s="47" t="str">
        <f>MID($BA30,8,1)</f>
        <v>1</v>
      </c>
      <c r="BB37" s="47" t="str">
        <f>MID($BB30,8,1)</f>
        <v>1</v>
      </c>
      <c r="BC37" s="44"/>
      <c r="BD37" s="44"/>
      <c r="BE37" s="44"/>
      <c r="BF37" s="44"/>
      <c r="BG37" s="55" t="s">
        <v>605</v>
      </c>
      <c r="BH37" s="175" t="s">
        <v>606</v>
      </c>
      <c r="BI37" s="175"/>
      <c r="BJ37" s="175"/>
      <c r="BK37" s="47" t="str">
        <f>MID($BK32,5,1)</f>
        <v>1</v>
      </c>
      <c r="BL37" s="47" t="str">
        <f>MID($BL32,5,1)</f>
        <v>1</v>
      </c>
      <c r="BM37" s="57"/>
    </row>
    <row r="38" spans="1:65" x14ac:dyDescent="0.3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59" t="s">
        <v>575</v>
      </c>
      <c r="AM38" s="90" t="s">
        <v>395</v>
      </c>
      <c r="AN38" s="47" t="s">
        <v>607</v>
      </c>
      <c r="AO38" s="88" t="str">
        <f>MID($U4,1,8)</f>
        <v>11011110</v>
      </c>
      <c r="AP38" s="68"/>
      <c r="AQ38" s="44"/>
      <c r="AR38" s="44"/>
      <c r="AS38" s="44"/>
      <c r="AT38" s="44"/>
      <c r="AU38" s="44"/>
      <c r="AV38" s="56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55" t="s">
        <v>608</v>
      </c>
      <c r="BH38" s="175" t="s">
        <v>609</v>
      </c>
      <c r="BI38" s="175"/>
      <c r="BJ38" s="175"/>
      <c r="BK38" s="47" t="str">
        <f>MID($BK32,6,1)</f>
        <v>1</v>
      </c>
      <c r="BL38" s="47" t="str">
        <f>MID($BL32,6,1)</f>
        <v>1</v>
      </c>
      <c r="BM38" s="57"/>
    </row>
    <row r="39" spans="1:65" x14ac:dyDescent="0.3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59" t="s">
        <v>610</v>
      </c>
      <c r="AM39" s="90" t="s">
        <v>395</v>
      </c>
      <c r="AN39" s="47" t="s">
        <v>611</v>
      </c>
      <c r="AO39" s="88" t="str">
        <f>MID($V4,1,8)</f>
        <v>11001110</v>
      </c>
      <c r="AP39" s="68"/>
      <c r="AQ39" s="44"/>
      <c r="AR39" s="44" t="s">
        <v>612</v>
      </c>
      <c r="AS39" s="44"/>
      <c r="AT39" s="44"/>
      <c r="AU39" s="44"/>
      <c r="AV39" s="56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55" t="s">
        <v>613</v>
      </c>
      <c r="BH39" s="175" t="s">
        <v>614</v>
      </c>
      <c r="BI39" s="175"/>
      <c r="BJ39" s="175"/>
      <c r="BK39" s="47" t="str">
        <f>MID($BK32,7,1)</f>
        <v>1</v>
      </c>
      <c r="BL39" s="47" t="str">
        <f>MID($BL32,7,1)</f>
        <v>1</v>
      </c>
      <c r="BM39" s="57"/>
    </row>
    <row r="40" spans="1:65" x14ac:dyDescent="0.3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59" t="s">
        <v>615</v>
      </c>
      <c r="AM40" s="90" t="s">
        <v>395</v>
      </c>
      <c r="AN40" s="61" t="s">
        <v>616</v>
      </c>
      <c r="AO40" s="88" t="str">
        <f>MID($W4,1,8)</f>
        <v>01111111</v>
      </c>
      <c r="AP40" s="68"/>
      <c r="AQ40" s="44"/>
      <c r="AR40" s="44" t="s">
        <v>617</v>
      </c>
      <c r="AS40" s="44" t="s">
        <v>618</v>
      </c>
      <c r="AT40" s="44"/>
      <c r="AU40" s="44"/>
      <c r="AV40" s="56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55" t="s">
        <v>619</v>
      </c>
      <c r="BH40" s="175" t="s">
        <v>620</v>
      </c>
      <c r="BI40" s="175"/>
      <c r="BJ40" s="175"/>
      <c r="BK40" s="47" t="str">
        <f>MID($BK32,8,1)</f>
        <v>0</v>
      </c>
      <c r="BL40" s="47" t="str">
        <f>MID($BL32,8,1)</f>
        <v>0</v>
      </c>
      <c r="BM40" s="57"/>
    </row>
    <row r="41" spans="1:65" x14ac:dyDescent="0.3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59" t="s">
        <v>621</v>
      </c>
      <c r="AM41" s="90" t="s">
        <v>395</v>
      </c>
      <c r="AN41" s="61">
        <v>1101</v>
      </c>
      <c r="AO41" s="88" t="str">
        <f>MID($X4,5,8)</f>
        <v>1101</v>
      </c>
      <c r="AP41" s="68"/>
      <c r="AQ41" s="44"/>
      <c r="AR41" s="44" t="s">
        <v>622</v>
      </c>
      <c r="AS41" s="44" t="s">
        <v>623</v>
      </c>
      <c r="AT41" s="44"/>
      <c r="AU41" s="44"/>
      <c r="AV41" s="56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57"/>
    </row>
    <row r="42" spans="1:65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55"/>
      <c r="AM42" s="91" t="s">
        <v>624</v>
      </c>
      <c r="AN42" s="47"/>
      <c r="AO42" s="88"/>
      <c r="AP42" s="68"/>
      <c r="AQ42" s="44"/>
      <c r="AR42" s="44" t="s">
        <v>625</v>
      </c>
      <c r="AS42" s="44" t="s">
        <v>626</v>
      </c>
      <c r="AT42" s="44"/>
      <c r="AU42" s="44"/>
      <c r="AV42" s="56"/>
      <c r="AW42" s="55"/>
      <c r="AX42" s="176" t="s">
        <v>75</v>
      </c>
      <c r="AY42" s="176"/>
      <c r="AZ42" s="176"/>
      <c r="BA42" s="1" t="s">
        <v>19</v>
      </c>
      <c r="BB42" s="1" t="s">
        <v>2</v>
      </c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57"/>
    </row>
    <row r="43" spans="1:65" x14ac:dyDescent="0.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59" t="s">
        <v>627</v>
      </c>
      <c r="AM43" s="90" t="s">
        <v>628</v>
      </c>
      <c r="AN43" s="47" t="s">
        <v>629</v>
      </c>
      <c r="AO43" s="88" t="str">
        <f>MID($AA4,1,8)</f>
        <v>11111110</v>
      </c>
      <c r="AP43" s="68"/>
      <c r="AQ43" s="44"/>
      <c r="AR43" s="44" t="s">
        <v>630</v>
      </c>
      <c r="AS43" s="44" t="s">
        <v>631</v>
      </c>
      <c r="AT43" s="44"/>
      <c r="AU43" s="44"/>
      <c r="AV43" s="56"/>
      <c r="AW43" s="2" t="s">
        <v>544</v>
      </c>
      <c r="AX43" s="177" t="s">
        <v>395</v>
      </c>
      <c r="AY43" s="177"/>
      <c r="AZ43" s="177"/>
      <c r="BA43" s="58" t="str">
        <f>AN28</f>
        <v>11111000</v>
      </c>
      <c r="BB43" s="58" t="str">
        <f>AO28</f>
        <v>11111000</v>
      </c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57"/>
    </row>
    <row r="44" spans="1:65" x14ac:dyDescent="0.3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59" t="s">
        <v>632</v>
      </c>
      <c r="AM44" s="90" t="s">
        <v>628</v>
      </c>
      <c r="AN44" s="61" t="s">
        <v>633</v>
      </c>
      <c r="AO44" s="88" t="str">
        <f>MID($AB4,1,8)</f>
        <v>00011111</v>
      </c>
      <c r="AP44" s="68"/>
      <c r="AQ44" s="44"/>
      <c r="AR44" s="44" t="s">
        <v>634</v>
      </c>
      <c r="AS44" s="44" t="s">
        <v>635</v>
      </c>
      <c r="AT44" s="44"/>
      <c r="AU44" s="44"/>
      <c r="AV44" s="56"/>
      <c r="AW44" s="55" t="s">
        <v>636</v>
      </c>
      <c r="AX44" s="175" t="s">
        <v>637</v>
      </c>
      <c r="AY44" s="175"/>
      <c r="AZ44" s="175"/>
      <c r="BA44" s="47" t="str">
        <f>MID($BA43,1,1)</f>
        <v>1</v>
      </c>
      <c r="BB44" s="47" t="str">
        <f>MID($BB43,1,1)</f>
        <v>1</v>
      </c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57"/>
    </row>
    <row r="45" spans="1:65" x14ac:dyDescent="0.3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55"/>
      <c r="AM45" s="91" t="s">
        <v>638</v>
      </c>
      <c r="AN45" s="47"/>
      <c r="AO45" s="88"/>
      <c r="AP45" s="68"/>
      <c r="AQ45" s="44"/>
      <c r="AR45" s="44"/>
      <c r="AS45" s="44"/>
      <c r="AT45" s="44"/>
      <c r="AU45" s="44"/>
      <c r="AV45" s="56"/>
      <c r="AW45" s="55" t="s">
        <v>639</v>
      </c>
      <c r="AX45" s="175" t="s">
        <v>640</v>
      </c>
      <c r="AY45" s="175"/>
      <c r="AZ45" s="175"/>
      <c r="BA45" s="47" t="str">
        <f>MID($BA43,2,1)</f>
        <v>1</v>
      </c>
      <c r="BB45" s="47" t="str">
        <f>MID($BB43,2,1)</f>
        <v>1</v>
      </c>
      <c r="BC45" s="44"/>
      <c r="BD45" s="44"/>
      <c r="BE45" s="44"/>
      <c r="BF45" s="44"/>
      <c r="BG45" s="55"/>
      <c r="BH45" s="176" t="s">
        <v>75</v>
      </c>
      <c r="BI45" s="176"/>
      <c r="BJ45" s="176"/>
      <c r="BK45" s="1" t="s">
        <v>19</v>
      </c>
      <c r="BL45" s="1" t="s">
        <v>2</v>
      </c>
      <c r="BM45" s="57"/>
    </row>
    <row r="46" spans="1:65" x14ac:dyDescent="0.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59" t="s">
        <v>641</v>
      </c>
      <c r="AM46" s="90" t="s">
        <v>628</v>
      </c>
      <c r="AN46" s="47" t="s">
        <v>642</v>
      </c>
      <c r="AO46" s="88" t="str">
        <f>MID($U5,1,8)</f>
        <v>11111001</v>
      </c>
      <c r="AP46" s="68"/>
      <c r="AQ46" s="44"/>
      <c r="AR46" s="44"/>
      <c r="AS46" s="44"/>
      <c r="AT46" s="44"/>
      <c r="AU46" s="44"/>
      <c r="AV46" s="56"/>
      <c r="AW46" s="55" t="s">
        <v>643</v>
      </c>
      <c r="AX46" s="175" t="s">
        <v>644</v>
      </c>
      <c r="AY46" s="175"/>
      <c r="AZ46" s="175"/>
      <c r="BA46" s="47" t="str">
        <f>MID($BA43,3,1)</f>
        <v>1</v>
      </c>
      <c r="BB46" s="47" t="str">
        <f>MID($BB43,3,1)</f>
        <v>1</v>
      </c>
      <c r="BC46" s="44"/>
      <c r="BD46" s="44"/>
      <c r="BE46" s="44"/>
      <c r="BF46" s="44"/>
      <c r="BG46" s="2" t="s">
        <v>610</v>
      </c>
      <c r="BH46" s="177" t="s">
        <v>395</v>
      </c>
      <c r="BI46" s="177"/>
      <c r="BJ46" s="177"/>
      <c r="BK46" s="58" t="str">
        <f>AN39</f>
        <v>11001110</v>
      </c>
      <c r="BL46" s="58" t="str">
        <f>AO39</f>
        <v>11001110</v>
      </c>
      <c r="BM46" s="57"/>
    </row>
    <row r="47" spans="1:65" x14ac:dyDescent="0.3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59" t="s">
        <v>645</v>
      </c>
      <c r="AM47" s="90" t="s">
        <v>628</v>
      </c>
      <c r="AN47" s="47">
        <v>1011</v>
      </c>
      <c r="AO47" s="88" t="str">
        <f>MID($V5,5,8)</f>
        <v>1011</v>
      </c>
      <c r="AP47" s="68"/>
      <c r="AQ47" s="44"/>
      <c r="AR47" s="44"/>
      <c r="AS47" s="44"/>
      <c r="AT47" s="44"/>
      <c r="AU47" s="44"/>
      <c r="AV47" s="56"/>
      <c r="AW47" s="55" t="s">
        <v>646</v>
      </c>
      <c r="AX47" s="175" t="s">
        <v>647</v>
      </c>
      <c r="AY47" s="175"/>
      <c r="AZ47" s="175"/>
      <c r="BA47" s="47" t="str">
        <f>MID($BA43,4,1)</f>
        <v>1</v>
      </c>
      <c r="BB47" s="47" t="str">
        <f>MID($BB43,4,1)</f>
        <v>1</v>
      </c>
      <c r="BC47" s="44"/>
      <c r="BD47" s="44"/>
      <c r="BE47" s="44"/>
      <c r="BF47" s="44"/>
      <c r="BG47" s="55" t="s">
        <v>648</v>
      </c>
      <c r="BH47" s="175" t="s">
        <v>649</v>
      </c>
      <c r="BI47" s="175"/>
      <c r="BJ47" s="175"/>
      <c r="BK47" s="47" t="str">
        <f>MID($BK46,1,1)</f>
        <v>1</v>
      </c>
      <c r="BL47" s="47" t="str">
        <f>MID($BL46,1,1)</f>
        <v>1</v>
      </c>
      <c r="BM47" s="57"/>
    </row>
    <row r="48" spans="1:65" x14ac:dyDescent="0.3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55"/>
      <c r="AM48" s="91" t="s">
        <v>650</v>
      </c>
      <c r="AN48" s="47"/>
      <c r="AO48" s="88"/>
      <c r="AP48" s="68"/>
      <c r="AQ48" s="44"/>
      <c r="AR48" s="44"/>
      <c r="AS48" s="44"/>
      <c r="AT48" s="44"/>
      <c r="AU48" s="44"/>
      <c r="AV48" s="56"/>
      <c r="AW48" s="55" t="s">
        <v>651</v>
      </c>
      <c r="AX48" s="175" t="s">
        <v>652</v>
      </c>
      <c r="AY48" s="175"/>
      <c r="AZ48" s="175"/>
      <c r="BA48" s="47" t="str">
        <f>MID($BA43,5,1)</f>
        <v>1</v>
      </c>
      <c r="BB48" s="47" t="str">
        <f>MID($BB43,5,1)</f>
        <v>1</v>
      </c>
      <c r="BC48" s="44"/>
      <c r="BD48" s="44"/>
      <c r="BE48" s="44"/>
      <c r="BF48" s="44"/>
      <c r="BG48" s="55" t="s">
        <v>653</v>
      </c>
      <c r="BH48" s="175" t="s">
        <v>654</v>
      </c>
      <c r="BI48" s="175"/>
      <c r="BJ48" s="175"/>
      <c r="BK48" s="47" t="str">
        <f>MID($BK46,2,1)</f>
        <v>1</v>
      </c>
      <c r="BL48" s="47" t="str">
        <f>MID($BL46,2,1)</f>
        <v>1</v>
      </c>
      <c r="BM48" s="57"/>
    </row>
    <row r="49" spans="38:65" x14ac:dyDescent="0.3">
      <c r="AL49" s="59" t="s">
        <v>655</v>
      </c>
      <c r="AM49" s="90" t="s">
        <v>656</v>
      </c>
      <c r="AN49" s="47">
        <v>1</v>
      </c>
      <c r="AO49" s="88" t="str">
        <f>MID($B6,1,1)</f>
        <v>1</v>
      </c>
      <c r="AP49" s="68"/>
      <c r="AQ49" s="44"/>
      <c r="AR49" s="44" t="s">
        <v>657</v>
      </c>
      <c r="AS49" s="44"/>
      <c r="AT49" s="44"/>
      <c r="AU49" s="44"/>
      <c r="AV49" s="56"/>
      <c r="AW49" s="55" t="s">
        <v>658</v>
      </c>
      <c r="AX49" s="175" t="s">
        <v>659</v>
      </c>
      <c r="AY49" s="175"/>
      <c r="AZ49" s="175"/>
      <c r="BA49" s="47" t="str">
        <f>MID($BA43,6,1)</f>
        <v>0</v>
      </c>
      <c r="BB49" s="47" t="str">
        <f>MID($BB43,6,1)</f>
        <v>0</v>
      </c>
      <c r="BC49" s="44"/>
      <c r="BD49" s="44"/>
      <c r="BE49" s="44"/>
      <c r="BF49" s="44"/>
      <c r="BG49" s="55" t="s">
        <v>660</v>
      </c>
      <c r="BH49" s="175" t="s">
        <v>661</v>
      </c>
      <c r="BI49" s="175"/>
      <c r="BJ49" s="175"/>
      <c r="BK49" s="47" t="str">
        <f>MID($BK46,3,1)</f>
        <v>0</v>
      </c>
      <c r="BL49" s="47" t="str">
        <f>MID($BL46,3,1)</f>
        <v>0</v>
      </c>
      <c r="BM49" s="57"/>
    </row>
    <row r="50" spans="38:65" x14ac:dyDescent="0.3">
      <c r="AL50" s="59" t="s">
        <v>662</v>
      </c>
      <c r="AM50" s="90" t="s">
        <v>663</v>
      </c>
      <c r="AN50" s="47" t="s">
        <v>89</v>
      </c>
      <c r="AO50" s="88" t="str">
        <f>RIGHT($S6,2)</f>
        <v>00</v>
      </c>
      <c r="AP50" s="68"/>
      <c r="AQ50" s="44"/>
      <c r="AR50" s="44" t="s">
        <v>466</v>
      </c>
      <c r="AS50" s="44" t="s">
        <v>664</v>
      </c>
      <c r="AT50" s="44"/>
      <c r="AU50" s="44"/>
      <c r="AV50" s="56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55" t="s">
        <v>665</v>
      </c>
      <c r="BH50" s="175" t="s">
        <v>666</v>
      </c>
      <c r="BI50" s="175"/>
      <c r="BJ50" s="175"/>
      <c r="BK50" s="47" t="str">
        <f>MID($BK46,4,1)</f>
        <v>0</v>
      </c>
      <c r="BL50" s="47" t="str">
        <f>MID($BL46,4,1)</f>
        <v>0</v>
      </c>
      <c r="BM50" s="57"/>
    </row>
    <row r="51" spans="38:65" x14ac:dyDescent="0.3">
      <c r="AL51" s="59" t="s">
        <v>667</v>
      </c>
      <c r="AM51" s="90" t="s">
        <v>668</v>
      </c>
      <c r="AN51" s="47" t="s">
        <v>89</v>
      </c>
      <c r="AO51" s="88" t="str">
        <f>MID($C6,1,8)</f>
        <v>00</v>
      </c>
      <c r="AP51" s="68"/>
      <c r="AQ51" s="44"/>
      <c r="AR51" s="44" t="s">
        <v>473</v>
      </c>
      <c r="AS51" s="44" t="s">
        <v>669</v>
      </c>
      <c r="AT51" s="44"/>
      <c r="AU51" s="44"/>
      <c r="AV51" s="56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55" t="s">
        <v>670</v>
      </c>
      <c r="BH51" s="175" t="s">
        <v>671</v>
      </c>
      <c r="BI51" s="175"/>
      <c r="BJ51" s="175"/>
      <c r="BK51" s="47" t="str">
        <f>MID($BK46,5,1)</f>
        <v>1</v>
      </c>
      <c r="BL51" s="47" t="str">
        <f>MID($BL46,5,1)</f>
        <v>1</v>
      </c>
      <c r="BM51" s="57"/>
    </row>
    <row r="52" spans="38:65" x14ac:dyDescent="0.3">
      <c r="AL52" s="59"/>
      <c r="AM52" s="91" t="s">
        <v>672</v>
      </c>
      <c r="AN52" s="47"/>
      <c r="AO52" s="88"/>
      <c r="AP52" s="68"/>
      <c r="AQ52" s="44"/>
      <c r="AR52" s="44" t="s">
        <v>481</v>
      </c>
      <c r="AS52" s="44" t="s">
        <v>673</v>
      </c>
      <c r="AT52" s="44"/>
      <c r="AU52" s="44"/>
      <c r="AV52" s="56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55" t="s">
        <v>674</v>
      </c>
      <c r="BH52" s="175" t="s">
        <v>675</v>
      </c>
      <c r="BI52" s="175"/>
      <c r="BJ52" s="175"/>
      <c r="BK52" s="47" t="str">
        <f>MID($BK46,6,1)</f>
        <v>1</v>
      </c>
      <c r="BL52" s="47" t="str">
        <f>MID($BL46,6,1)</f>
        <v>1</v>
      </c>
      <c r="BM52" s="57"/>
    </row>
    <row r="53" spans="38:65" x14ac:dyDescent="0.3">
      <c r="AL53" s="59" t="s">
        <v>676</v>
      </c>
      <c r="AM53" s="90" t="s">
        <v>677</v>
      </c>
      <c r="AN53" s="127" t="s">
        <v>678</v>
      </c>
      <c r="AO53" s="107" t="str">
        <f>MID($C17,1,8)</f>
        <v>03</v>
      </c>
      <c r="AP53" s="68"/>
      <c r="AQ53" s="44"/>
      <c r="AR53" s="44"/>
      <c r="AS53" s="44"/>
      <c r="AT53" s="44"/>
      <c r="AU53" s="44"/>
      <c r="AV53" s="56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55" t="s">
        <v>679</v>
      </c>
      <c r="BH53" s="175" t="s">
        <v>680</v>
      </c>
      <c r="BI53" s="175"/>
      <c r="BJ53" s="175"/>
      <c r="BK53" s="47" t="str">
        <f>MID($BK46,7,1)</f>
        <v>1</v>
      </c>
      <c r="BL53" s="47" t="str">
        <f>MID($BL46,7,1)</f>
        <v>1</v>
      </c>
      <c r="BM53" s="57"/>
    </row>
    <row r="54" spans="38:65" x14ac:dyDescent="0.3">
      <c r="AL54" s="59" t="s">
        <v>681</v>
      </c>
      <c r="AM54" s="90" t="s">
        <v>682</v>
      </c>
      <c r="AN54" s="127" t="s">
        <v>683</v>
      </c>
      <c r="AO54" s="107" t="str">
        <f>MID($D17,1,8)</f>
        <v>06</v>
      </c>
      <c r="AP54" s="68"/>
      <c r="AQ54" s="44"/>
      <c r="AR54" s="44"/>
      <c r="AS54" s="44"/>
      <c r="AT54" s="44"/>
      <c r="AU54" s="44"/>
      <c r="AV54" s="56"/>
      <c r="AW54" s="55"/>
      <c r="AX54" s="176" t="s">
        <v>75</v>
      </c>
      <c r="AY54" s="176"/>
      <c r="AZ54" s="176"/>
      <c r="BA54" s="1" t="s">
        <v>19</v>
      </c>
      <c r="BB54" s="1" t="s">
        <v>2</v>
      </c>
      <c r="BC54" s="44"/>
      <c r="BD54" s="44"/>
      <c r="BE54" s="44"/>
      <c r="BF54" s="44"/>
      <c r="BG54" s="55" t="s">
        <v>684</v>
      </c>
      <c r="BH54" s="175" t="s">
        <v>685</v>
      </c>
      <c r="BI54" s="175"/>
      <c r="BJ54" s="175"/>
      <c r="BK54" s="47" t="str">
        <f>MID($BK46,8,1)</f>
        <v>0</v>
      </c>
      <c r="BL54" s="47" t="str">
        <f>MID($BL46,8,1)</f>
        <v>0</v>
      </c>
      <c r="BM54" s="57"/>
    </row>
    <row r="55" spans="38:65" x14ac:dyDescent="0.3">
      <c r="AL55" s="59" t="s">
        <v>686</v>
      </c>
      <c r="AM55" s="90" t="s">
        <v>687</v>
      </c>
      <c r="AN55" s="127" t="s">
        <v>89</v>
      </c>
      <c r="AO55" s="107" t="str">
        <f>MID($E17,1,8)</f>
        <v>00</v>
      </c>
      <c r="AP55" s="68"/>
      <c r="AQ55" s="44"/>
      <c r="AR55" s="44" t="s">
        <v>688</v>
      </c>
      <c r="AS55" s="44" t="s">
        <v>689</v>
      </c>
      <c r="AT55" s="44"/>
      <c r="AU55" s="44"/>
      <c r="AV55" s="56"/>
      <c r="AW55" s="2" t="s">
        <v>551</v>
      </c>
      <c r="AX55" s="177" t="s">
        <v>395</v>
      </c>
      <c r="AY55" s="177"/>
      <c r="AZ55" s="177"/>
      <c r="BA55" s="58" t="str">
        <f>AN29</f>
        <v>11111111</v>
      </c>
      <c r="BB55" s="58" t="str">
        <f>AO29</f>
        <v>11111111</v>
      </c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57"/>
    </row>
    <row r="56" spans="38:65" x14ac:dyDescent="0.3">
      <c r="AL56" s="59" t="s">
        <v>690</v>
      </c>
      <c r="AM56" s="90" t="s">
        <v>691</v>
      </c>
      <c r="AN56" s="47" t="s">
        <v>692</v>
      </c>
      <c r="AO56" s="88" t="str">
        <f>MID($F17,1,8)</f>
        <v>07</v>
      </c>
      <c r="AP56" s="68"/>
      <c r="AQ56" s="44"/>
      <c r="AR56" s="44" t="s">
        <v>693</v>
      </c>
      <c r="AS56" s="44" t="s">
        <v>694</v>
      </c>
      <c r="AT56" s="44"/>
      <c r="AU56" s="44"/>
      <c r="AV56" s="56"/>
      <c r="AW56" s="55" t="s">
        <v>695</v>
      </c>
      <c r="AX56" s="175" t="s">
        <v>696</v>
      </c>
      <c r="AY56" s="175"/>
      <c r="AZ56" s="175"/>
      <c r="BA56" s="47" t="str">
        <f>MID($BA55,1,1)</f>
        <v>1</v>
      </c>
      <c r="BB56" s="47" t="str">
        <f>MID($BB55,1,1)</f>
        <v>1</v>
      </c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57"/>
    </row>
    <row r="57" spans="38:65" x14ac:dyDescent="0.3">
      <c r="AL57" s="59" t="s">
        <v>697</v>
      </c>
      <c r="AM57" s="89" t="s">
        <v>698</v>
      </c>
      <c r="AN57" s="47" t="s">
        <v>699</v>
      </c>
      <c r="AO57" s="88" t="str">
        <f>MID($G17,1,8)</f>
        <v>18</v>
      </c>
      <c r="AP57" s="68"/>
      <c r="AQ57" s="44"/>
      <c r="AR57" s="44"/>
      <c r="AS57" s="44"/>
      <c r="AT57" s="44"/>
      <c r="AU57" s="44"/>
      <c r="AV57" s="56"/>
      <c r="AW57" s="55" t="s">
        <v>700</v>
      </c>
      <c r="AX57" s="175" t="s">
        <v>701</v>
      </c>
      <c r="AY57" s="175"/>
      <c r="AZ57" s="175"/>
      <c r="BA57" s="47" t="str">
        <f>MID($BA55,2,1)</f>
        <v>1</v>
      </c>
      <c r="BB57" s="47" t="str">
        <f>MID($BB55,2,1)</f>
        <v>1</v>
      </c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57"/>
    </row>
    <row r="58" spans="38:65" x14ac:dyDescent="0.3">
      <c r="AL58" s="59" t="s">
        <v>702</v>
      </c>
      <c r="AM58" s="89" t="s">
        <v>703</v>
      </c>
      <c r="AN58" s="47" t="s">
        <v>704</v>
      </c>
      <c r="AO58" s="88" t="str">
        <f>MID($H17,1,8)</f>
        <v>25</v>
      </c>
      <c r="AP58" s="68"/>
      <c r="AQ58" s="44"/>
      <c r="AR58" s="44"/>
      <c r="AS58" s="44"/>
      <c r="AT58" s="44"/>
      <c r="AU58" s="44"/>
      <c r="AV58" s="56"/>
      <c r="AW58" s="55" t="s">
        <v>705</v>
      </c>
      <c r="AX58" s="175" t="s">
        <v>706</v>
      </c>
      <c r="AY58" s="175"/>
      <c r="AZ58" s="175"/>
      <c r="BA58" s="47" t="str">
        <f>MID($BA55,3,1)</f>
        <v>1</v>
      </c>
      <c r="BB58" s="47" t="str">
        <f>MID($BB55,3,1)</f>
        <v>1</v>
      </c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57"/>
    </row>
    <row r="59" spans="38:65" x14ac:dyDescent="0.3"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56"/>
      <c r="AW59" s="55" t="s">
        <v>707</v>
      </c>
      <c r="AX59" s="175" t="s">
        <v>708</v>
      </c>
      <c r="AY59" s="175"/>
      <c r="AZ59" s="175"/>
      <c r="BA59" s="47" t="str">
        <f>MID($BA55,4,1)</f>
        <v>1</v>
      </c>
      <c r="BB59" s="47" t="str">
        <f>MID($BB55,4,1)</f>
        <v>1</v>
      </c>
      <c r="BC59" s="44"/>
      <c r="BD59" s="44"/>
      <c r="BE59" s="44"/>
      <c r="BF59" s="44"/>
      <c r="BG59" s="55"/>
      <c r="BH59" s="176" t="s">
        <v>75</v>
      </c>
      <c r="BI59" s="176"/>
      <c r="BJ59" s="176"/>
      <c r="BK59" s="1" t="s">
        <v>19</v>
      </c>
      <c r="BL59" s="1" t="s">
        <v>2</v>
      </c>
      <c r="BM59" s="57"/>
    </row>
    <row r="60" spans="38:65" x14ac:dyDescent="0.3"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56"/>
      <c r="AW60" s="55" t="s">
        <v>709</v>
      </c>
      <c r="AX60" s="175" t="s">
        <v>710</v>
      </c>
      <c r="AY60" s="175"/>
      <c r="AZ60" s="175"/>
      <c r="BA60" s="47" t="str">
        <f>MID($BA55,5,1)</f>
        <v>1</v>
      </c>
      <c r="BB60" s="47" t="str">
        <f>MID($BB55,5,1)</f>
        <v>1</v>
      </c>
      <c r="BC60" s="44"/>
      <c r="BD60" s="44"/>
      <c r="BE60" s="44"/>
      <c r="BF60" s="44"/>
      <c r="BG60" s="2" t="s">
        <v>615</v>
      </c>
      <c r="BH60" s="177" t="s">
        <v>395</v>
      </c>
      <c r="BI60" s="177"/>
      <c r="BJ60" s="177"/>
      <c r="BK60" s="58" t="str">
        <f>AN40</f>
        <v>01101111</v>
      </c>
      <c r="BL60" s="58" t="str">
        <f>AO40</f>
        <v>01111111</v>
      </c>
      <c r="BM60" s="57"/>
    </row>
    <row r="61" spans="38:65" x14ac:dyDescent="0.3"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56"/>
      <c r="AW61" s="55" t="s">
        <v>711</v>
      </c>
      <c r="AX61" s="175" t="s">
        <v>710</v>
      </c>
      <c r="AY61" s="175"/>
      <c r="AZ61" s="175"/>
      <c r="BA61" s="47" t="str">
        <f>MID($BA55,6,1)</f>
        <v>1</v>
      </c>
      <c r="BB61" s="47" t="str">
        <f>MID($BB55,6,1)</f>
        <v>1</v>
      </c>
      <c r="BC61" s="44"/>
      <c r="BD61" s="44"/>
      <c r="BE61" s="44"/>
      <c r="BF61" s="44"/>
      <c r="BG61" s="55" t="s">
        <v>712</v>
      </c>
      <c r="BH61" s="175" t="s">
        <v>713</v>
      </c>
      <c r="BI61" s="175"/>
      <c r="BJ61" s="175"/>
      <c r="BK61" s="47" t="str">
        <f>MID($BK60,1,1)</f>
        <v>0</v>
      </c>
      <c r="BL61" s="47" t="str">
        <f>MID($BL60,1,1)</f>
        <v>0</v>
      </c>
      <c r="BM61" s="57"/>
    </row>
    <row r="62" spans="38:65" x14ac:dyDescent="0.3"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56"/>
      <c r="AW62" s="55" t="s">
        <v>714</v>
      </c>
      <c r="AX62" s="175" t="s">
        <v>715</v>
      </c>
      <c r="AY62" s="175"/>
      <c r="AZ62" s="175"/>
      <c r="BA62" s="47" t="str">
        <f>MID($BA55,7,1)</f>
        <v>1</v>
      </c>
      <c r="BB62" s="47" t="str">
        <f>MID($BB55,7,1)</f>
        <v>1</v>
      </c>
      <c r="BC62" s="44"/>
      <c r="BD62" s="44"/>
      <c r="BE62" s="44"/>
      <c r="BF62" s="44"/>
      <c r="BG62" s="55" t="s">
        <v>716</v>
      </c>
      <c r="BH62" s="175" t="s">
        <v>717</v>
      </c>
      <c r="BI62" s="175"/>
      <c r="BJ62" s="175"/>
      <c r="BK62" s="47" t="str">
        <f>MID($BK60,2,1)</f>
        <v>1</v>
      </c>
      <c r="BL62" s="47" t="str">
        <f>MID($BL60,2,1)</f>
        <v>1</v>
      </c>
      <c r="BM62" s="57"/>
    </row>
    <row r="63" spans="38:65" x14ac:dyDescent="0.3"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56"/>
      <c r="AW63" s="55" t="s">
        <v>718</v>
      </c>
      <c r="AX63" s="175" t="s">
        <v>719</v>
      </c>
      <c r="AY63" s="175"/>
      <c r="AZ63" s="175"/>
      <c r="BA63" s="47" t="str">
        <f>MID($BA55,8,1)</f>
        <v>1</v>
      </c>
      <c r="BB63" s="47" t="str">
        <f>MID($BB55,8,1)</f>
        <v>1</v>
      </c>
      <c r="BC63" s="44"/>
      <c r="BD63" s="44"/>
      <c r="BE63" s="44"/>
      <c r="BF63" s="44"/>
      <c r="BG63" s="55" t="s">
        <v>720</v>
      </c>
      <c r="BH63" s="175" t="s">
        <v>721</v>
      </c>
      <c r="BI63" s="175"/>
      <c r="BJ63" s="175"/>
      <c r="BK63" s="47" t="str">
        <f>MID($BK60,3,1)</f>
        <v>1</v>
      </c>
      <c r="BL63" s="47" t="str">
        <f>MID($BL60,3,1)</f>
        <v>1</v>
      </c>
      <c r="BM63" s="57"/>
    </row>
    <row r="64" spans="38:65" x14ac:dyDescent="0.3"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56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55" t="s">
        <v>722</v>
      </c>
      <c r="BH64" s="175" t="s">
        <v>723</v>
      </c>
      <c r="BI64" s="175"/>
      <c r="BJ64" s="175"/>
      <c r="BK64" s="47" t="str">
        <f>MID($BK60,4,1)</f>
        <v>0</v>
      </c>
      <c r="BL64" s="47" t="str">
        <f>MID($BL60,4,1)</f>
        <v>1</v>
      </c>
      <c r="BM64" s="57"/>
    </row>
    <row r="65" spans="48:65" x14ac:dyDescent="0.3">
      <c r="AV65" s="56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55" t="s">
        <v>724</v>
      </c>
      <c r="BH65" s="175" t="s">
        <v>725</v>
      </c>
      <c r="BI65" s="175"/>
      <c r="BJ65" s="175"/>
      <c r="BK65" s="47" t="str">
        <f>MID($BK60,5,1)</f>
        <v>1</v>
      </c>
      <c r="BL65" s="47" t="str">
        <f>MID($BL60,5,1)</f>
        <v>1</v>
      </c>
      <c r="BM65" s="57"/>
    </row>
    <row r="66" spans="48:65" x14ac:dyDescent="0.3">
      <c r="AV66" s="56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55" t="s">
        <v>726</v>
      </c>
      <c r="BH66" s="175" t="s">
        <v>727</v>
      </c>
      <c r="BI66" s="175"/>
      <c r="BJ66" s="175"/>
      <c r="BK66" s="47" t="str">
        <f>MID($BK60,6,1)</f>
        <v>1</v>
      </c>
      <c r="BL66" s="47" t="str">
        <f>MID($BL60,6,1)</f>
        <v>1</v>
      </c>
      <c r="BM66" s="57"/>
    </row>
    <row r="67" spans="48:65" x14ac:dyDescent="0.3">
      <c r="AV67" s="56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55" t="s">
        <v>728</v>
      </c>
      <c r="BH67" s="175" t="s">
        <v>729</v>
      </c>
      <c r="BI67" s="175"/>
      <c r="BJ67" s="175"/>
      <c r="BK67" s="47" t="str">
        <f>MID($BK60,7,1)</f>
        <v>1</v>
      </c>
      <c r="BL67" s="47" t="str">
        <f>MID($BL60,7,1)</f>
        <v>1</v>
      </c>
      <c r="BM67" s="57"/>
    </row>
    <row r="68" spans="48:65" x14ac:dyDescent="0.3">
      <c r="AV68" s="56"/>
      <c r="AW68" s="55"/>
      <c r="AX68" s="176" t="s">
        <v>75</v>
      </c>
      <c r="AY68" s="176"/>
      <c r="AZ68" s="176"/>
      <c r="BA68" s="1" t="s">
        <v>19</v>
      </c>
      <c r="BB68" s="1" t="s">
        <v>2</v>
      </c>
      <c r="BC68" s="44"/>
      <c r="BD68" s="44"/>
      <c r="BE68" s="44"/>
      <c r="BF68" s="44"/>
      <c r="BG68" s="55" t="s">
        <v>730</v>
      </c>
      <c r="BH68" s="175" t="s">
        <v>731</v>
      </c>
      <c r="BI68" s="175"/>
      <c r="BJ68" s="175"/>
      <c r="BK68" s="47" t="str">
        <f>MID($BK60,8,1)</f>
        <v>1</v>
      </c>
      <c r="BL68" s="47" t="str">
        <f>MID($BL60,8,1)</f>
        <v>1</v>
      </c>
      <c r="BM68" s="57"/>
    </row>
    <row r="69" spans="48:65" x14ac:dyDescent="0.3">
      <c r="AV69" s="56"/>
      <c r="AW69" s="2" t="s">
        <v>558</v>
      </c>
      <c r="AX69" s="177" t="s">
        <v>395</v>
      </c>
      <c r="AY69" s="177"/>
      <c r="AZ69" s="177"/>
      <c r="BA69" s="58" t="str">
        <f>AN30</f>
        <v>11111111</v>
      </c>
      <c r="BB69" s="58" t="str">
        <f>AO30</f>
        <v>11111111</v>
      </c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57"/>
    </row>
    <row r="70" spans="48:65" x14ac:dyDescent="0.3">
      <c r="AV70" s="56"/>
      <c r="AW70" s="55" t="s">
        <v>732</v>
      </c>
      <c r="AX70" s="175" t="s">
        <v>733</v>
      </c>
      <c r="AY70" s="175"/>
      <c r="AZ70" s="175"/>
      <c r="BA70" s="47" t="str">
        <f>MID($BA69,1,1)</f>
        <v>1</v>
      </c>
      <c r="BB70" s="47" t="str">
        <f>MID($BB69,1,1)</f>
        <v>1</v>
      </c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57"/>
    </row>
    <row r="71" spans="48:65" x14ac:dyDescent="0.3">
      <c r="AV71" s="56"/>
      <c r="AW71" s="55" t="s">
        <v>734</v>
      </c>
      <c r="AX71" s="175" t="s">
        <v>735</v>
      </c>
      <c r="AY71" s="175"/>
      <c r="AZ71" s="175"/>
      <c r="BA71" s="47" t="str">
        <f>MID($BA69,2,1)</f>
        <v>1</v>
      </c>
      <c r="BB71" s="47" t="str">
        <f>MID($BB69,2,1)</f>
        <v>1</v>
      </c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57"/>
    </row>
    <row r="72" spans="48:65" x14ac:dyDescent="0.3">
      <c r="AV72" s="56"/>
      <c r="AW72" s="55" t="s">
        <v>736</v>
      </c>
      <c r="AX72" s="175" t="s">
        <v>737</v>
      </c>
      <c r="AY72" s="175"/>
      <c r="AZ72" s="175"/>
      <c r="BA72" s="47" t="str">
        <f>MID($BA69,3,1)</f>
        <v>1</v>
      </c>
      <c r="BB72" s="47" t="str">
        <f>MID($BB69,3,1)</f>
        <v>1</v>
      </c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57"/>
    </row>
    <row r="73" spans="48:65" x14ac:dyDescent="0.3">
      <c r="AV73" s="56"/>
      <c r="AW73" s="55" t="s">
        <v>738</v>
      </c>
      <c r="AX73" s="175" t="s">
        <v>739</v>
      </c>
      <c r="AY73" s="175"/>
      <c r="AZ73" s="175"/>
      <c r="BA73" s="47" t="str">
        <f>MID($BA69,4,1)</f>
        <v>1</v>
      </c>
      <c r="BB73" s="47" t="str">
        <f>MID($BB69,4,1)</f>
        <v>1</v>
      </c>
      <c r="BC73" s="44"/>
      <c r="BD73" s="44"/>
      <c r="BE73" s="44"/>
      <c r="BF73" s="44"/>
      <c r="BG73" s="55"/>
      <c r="BH73" s="176" t="s">
        <v>75</v>
      </c>
      <c r="BI73" s="176"/>
      <c r="BJ73" s="176"/>
      <c r="BK73" s="1" t="s">
        <v>19</v>
      </c>
      <c r="BL73" s="1" t="s">
        <v>2</v>
      </c>
      <c r="BM73" s="57"/>
    </row>
    <row r="74" spans="48:65" x14ac:dyDescent="0.3">
      <c r="AV74" s="56"/>
      <c r="AW74" s="55" t="s">
        <v>740</v>
      </c>
      <c r="AX74" s="175" t="s">
        <v>741</v>
      </c>
      <c r="AY74" s="175"/>
      <c r="AZ74" s="175"/>
      <c r="BA74" s="47" t="str">
        <f>MID($BA69,5,1)</f>
        <v>1</v>
      </c>
      <c r="BB74" s="47" t="str">
        <f>MID($BB69,5,1)</f>
        <v>1</v>
      </c>
      <c r="BC74" s="44"/>
      <c r="BD74" s="44"/>
      <c r="BE74" s="44"/>
      <c r="BF74" s="44"/>
      <c r="BG74" s="2" t="s">
        <v>621</v>
      </c>
      <c r="BH74" s="177" t="s">
        <v>395</v>
      </c>
      <c r="BI74" s="177"/>
      <c r="BJ74" s="177"/>
      <c r="BK74" s="58">
        <f>AN41</f>
        <v>1101</v>
      </c>
      <c r="BL74" s="58" t="str">
        <f>AO41</f>
        <v>1101</v>
      </c>
      <c r="BM74" s="57"/>
    </row>
    <row r="75" spans="48:65" x14ac:dyDescent="0.3">
      <c r="AV75" s="56"/>
      <c r="AW75" s="55" t="s">
        <v>742</v>
      </c>
      <c r="AX75" s="175" t="s">
        <v>743</v>
      </c>
      <c r="AY75" s="175"/>
      <c r="AZ75" s="175"/>
      <c r="BA75" s="47" t="str">
        <f>MID($BA69,6,1)</f>
        <v>1</v>
      </c>
      <c r="BB75" s="47" t="str">
        <f>MID($BB69,6,1)</f>
        <v>1</v>
      </c>
      <c r="BC75" s="44"/>
      <c r="BD75" s="44"/>
      <c r="BE75" s="44"/>
      <c r="BF75" s="44"/>
      <c r="BG75" s="55" t="s">
        <v>744</v>
      </c>
      <c r="BH75" s="175" t="s">
        <v>745</v>
      </c>
      <c r="BI75" s="175"/>
      <c r="BJ75" s="175"/>
      <c r="BK75" s="47" t="str">
        <f>MID($BK74,1,1)</f>
        <v>1</v>
      </c>
      <c r="BL75" s="47" t="str">
        <f>MID($BL74,1,1)</f>
        <v>1</v>
      </c>
      <c r="BM75" s="57"/>
    </row>
    <row r="76" spans="48:65" x14ac:dyDescent="0.3">
      <c r="AV76" s="56"/>
      <c r="AW76" s="55" t="s">
        <v>746</v>
      </c>
      <c r="AX76" s="175" t="s">
        <v>747</v>
      </c>
      <c r="AY76" s="175"/>
      <c r="AZ76" s="175"/>
      <c r="BA76" s="47" t="str">
        <f>MID($BA69,7,1)</f>
        <v>1</v>
      </c>
      <c r="BB76" s="47" t="str">
        <f>MID($BB69,7,1)</f>
        <v>1</v>
      </c>
      <c r="BC76" s="44"/>
      <c r="BD76" s="44"/>
      <c r="BE76" s="44"/>
      <c r="BF76" s="44"/>
      <c r="BG76" s="55" t="s">
        <v>748</v>
      </c>
      <c r="BH76" s="175" t="s">
        <v>749</v>
      </c>
      <c r="BI76" s="175"/>
      <c r="BJ76" s="175"/>
      <c r="BK76" s="47" t="str">
        <f>MID($BK74,2,1)</f>
        <v>1</v>
      </c>
      <c r="BL76" s="47" t="str">
        <f>MID($BL74,2,1)</f>
        <v>1</v>
      </c>
      <c r="BM76" s="57"/>
    </row>
    <row r="77" spans="48:65" x14ac:dyDescent="0.3">
      <c r="AV77" s="56"/>
      <c r="AW77" s="55" t="s">
        <v>750</v>
      </c>
      <c r="AX77" s="175" t="s">
        <v>751</v>
      </c>
      <c r="AY77" s="175"/>
      <c r="AZ77" s="175"/>
      <c r="BA77" s="47" t="str">
        <f>MID($BA69,8,1)</f>
        <v>1</v>
      </c>
      <c r="BB77" s="47" t="str">
        <f>MID($BB69,8,1)</f>
        <v>1</v>
      </c>
      <c r="BC77" s="44"/>
      <c r="BD77" s="44"/>
      <c r="BE77" s="44"/>
      <c r="BF77" s="44"/>
      <c r="BG77" s="55" t="s">
        <v>752</v>
      </c>
      <c r="BH77" s="175" t="s">
        <v>753</v>
      </c>
      <c r="BI77" s="175"/>
      <c r="BJ77" s="175"/>
      <c r="BK77" s="47" t="str">
        <f>MID($BK74,3,1)</f>
        <v>0</v>
      </c>
      <c r="BL77" s="47" t="str">
        <f>MID($BL74,3,1)</f>
        <v>0</v>
      </c>
      <c r="BM77" s="57"/>
    </row>
    <row r="78" spans="48:65" x14ac:dyDescent="0.3">
      <c r="AV78" s="56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55" t="s">
        <v>754</v>
      </c>
      <c r="BH78" s="175" t="s">
        <v>755</v>
      </c>
      <c r="BI78" s="175"/>
      <c r="BJ78" s="175"/>
      <c r="BK78" s="47" t="str">
        <f>MID($BK74,4,1)</f>
        <v>1</v>
      </c>
      <c r="BL78" s="47" t="str">
        <f>MID($BL74,4,1)</f>
        <v>1</v>
      </c>
      <c r="BM78" s="57"/>
    </row>
    <row r="79" spans="48:65" x14ac:dyDescent="0.3">
      <c r="AV79" s="56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57"/>
    </row>
    <row r="80" spans="48:65" x14ac:dyDescent="0.3">
      <c r="AV80" s="56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57"/>
    </row>
    <row r="81" spans="48:65" x14ac:dyDescent="0.3">
      <c r="AV81" s="56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57"/>
    </row>
    <row r="82" spans="48:65" x14ac:dyDescent="0.3">
      <c r="AV82" s="56"/>
      <c r="AW82" s="55"/>
      <c r="AX82" s="176" t="s">
        <v>75</v>
      </c>
      <c r="AY82" s="176"/>
      <c r="AZ82" s="176"/>
      <c r="BA82" s="1" t="s">
        <v>19</v>
      </c>
      <c r="BB82" s="1" t="s">
        <v>2</v>
      </c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57"/>
    </row>
    <row r="83" spans="48:65" x14ac:dyDescent="0.3">
      <c r="AV83" s="56"/>
      <c r="AW83" s="2" t="s">
        <v>563</v>
      </c>
      <c r="AX83" s="177" t="s">
        <v>395</v>
      </c>
      <c r="AY83" s="177"/>
      <c r="AZ83" s="177"/>
      <c r="BA83" s="58" t="str">
        <f>AN31</f>
        <v>11111111</v>
      </c>
      <c r="BB83" s="58" t="str">
        <f>AO31</f>
        <v>11111111</v>
      </c>
      <c r="BC83" s="44"/>
      <c r="BD83" s="44"/>
      <c r="BE83" s="44"/>
      <c r="BF83" s="44"/>
      <c r="BG83" s="55"/>
      <c r="BH83" s="176" t="s">
        <v>75</v>
      </c>
      <c r="BI83" s="176"/>
      <c r="BJ83" s="176"/>
      <c r="BK83" s="1" t="s">
        <v>19</v>
      </c>
      <c r="BL83" s="1" t="s">
        <v>2</v>
      </c>
      <c r="BM83" s="57"/>
    </row>
    <row r="84" spans="48:65" x14ac:dyDescent="0.3">
      <c r="AV84" s="56"/>
      <c r="AW84" s="55" t="s">
        <v>756</v>
      </c>
      <c r="AX84" s="175" t="s">
        <v>757</v>
      </c>
      <c r="AY84" s="175"/>
      <c r="AZ84" s="175"/>
      <c r="BA84" s="47" t="str">
        <f>MID($BA83,1,1)</f>
        <v>1</v>
      </c>
      <c r="BB84" s="47" t="str">
        <f>MID($BB83,1,1)</f>
        <v>1</v>
      </c>
      <c r="BC84" s="44"/>
      <c r="BD84" s="44"/>
      <c r="BE84" s="44"/>
      <c r="BF84" s="44"/>
      <c r="BG84" s="2" t="s">
        <v>627</v>
      </c>
      <c r="BH84" s="177" t="s">
        <v>395</v>
      </c>
      <c r="BI84" s="177"/>
      <c r="BJ84" s="177"/>
      <c r="BK84" s="58" t="str">
        <f>AN43</f>
        <v>11111110</v>
      </c>
      <c r="BL84" s="58" t="str">
        <f>AO43</f>
        <v>11111110</v>
      </c>
      <c r="BM84" s="57"/>
    </row>
    <row r="85" spans="48:65" x14ac:dyDescent="0.3">
      <c r="AV85" s="56"/>
      <c r="AW85" s="55" t="s">
        <v>758</v>
      </c>
      <c r="AX85" s="175" t="s">
        <v>759</v>
      </c>
      <c r="AY85" s="175"/>
      <c r="AZ85" s="175"/>
      <c r="BA85" s="47" t="str">
        <f>MID($BA83,2,1)</f>
        <v>1</v>
      </c>
      <c r="BB85" s="47" t="str">
        <f>MID($BB83,2,1)</f>
        <v>1</v>
      </c>
      <c r="BC85" s="44"/>
      <c r="BD85" s="44"/>
      <c r="BE85" s="44"/>
      <c r="BF85" s="44"/>
      <c r="BG85" s="55" t="s">
        <v>760</v>
      </c>
      <c r="BH85" s="175" t="s">
        <v>761</v>
      </c>
      <c r="BI85" s="175"/>
      <c r="BJ85" s="175"/>
      <c r="BK85" s="47" t="str">
        <f>MID($BK84,1,1)</f>
        <v>1</v>
      </c>
      <c r="BL85" s="47" t="str">
        <f>MID($BL84,1,1)</f>
        <v>1</v>
      </c>
      <c r="BM85" s="57"/>
    </row>
    <row r="86" spans="48:65" x14ac:dyDescent="0.3">
      <c r="AV86" s="56"/>
      <c r="AW86" s="55" t="s">
        <v>762</v>
      </c>
      <c r="AX86" s="175" t="s">
        <v>763</v>
      </c>
      <c r="AY86" s="175"/>
      <c r="AZ86" s="175"/>
      <c r="BA86" s="47" t="str">
        <f>MID($BA83,3,1)</f>
        <v>1</v>
      </c>
      <c r="BB86" s="47" t="str">
        <f>MID($BB83,3,1)</f>
        <v>1</v>
      </c>
      <c r="BC86" s="44"/>
      <c r="BD86" s="44"/>
      <c r="BE86" s="44"/>
      <c r="BF86" s="44"/>
      <c r="BG86" s="55" t="s">
        <v>764</v>
      </c>
      <c r="BH86" s="175" t="s">
        <v>765</v>
      </c>
      <c r="BI86" s="175"/>
      <c r="BJ86" s="175"/>
      <c r="BK86" s="47" t="str">
        <f>MID($BK84,2,1)</f>
        <v>1</v>
      </c>
      <c r="BL86" s="47" t="str">
        <f>MID($BL84,2,1)</f>
        <v>1</v>
      </c>
      <c r="BM86" s="57"/>
    </row>
    <row r="87" spans="48:65" x14ac:dyDescent="0.3">
      <c r="AV87" s="56"/>
      <c r="AW87" s="55" t="s">
        <v>766</v>
      </c>
      <c r="AX87" s="175" t="s">
        <v>767</v>
      </c>
      <c r="AY87" s="175"/>
      <c r="AZ87" s="175"/>
      <c r="BA87" s="47" t="str">
        <f>MID($BA83,4,1)</f>
        <v>1</v>
      </c>
      <c r="BB87" s="47" t="str">
        <f>MID($BB83,4,1)</f>
        <v>1</v>
      </c>
      <c r="BC87" s="44"/>
      <c r="BD87" s="44"/>
      <c r="BE87" s="44"/>
      <c r="BF87" s="44"/>
      <c r="BG87" s="55" t="s">
        <v>768</v>
      </c>
      <c r="BH87" s="175" t="s">
        <v>769</v>
      </c>
      <c r="BI87" s="175"/>
      <c r="BJ87" s="175"/>
      <c r="BK87" s="47" t="str">
        <f>MID($BK84,3,1)</f>
        <v>1</v>
      </c>
      <c r="BL87" s="47" t="str">
        <f>MID($BL84,3,1)</f>
        <v>1</v>
      </c>
      <c r="BM87" s="57"/>
    </row>
    <row r="88" spans="48:65" x14ac:dyDescent="0.3">
      <c r="AV88" s="56"/>
      <c r="AW88" s="55" t="s">
        <v>770</v>
      </c>
      <c r="AX88" s="175" t="s">
        <v>771</v>
      </c>
      <c r="AY88" s="175"/>
      <c r="AZ88" s="175"/>
      <c r="BA88" s="47" t="str">
        <f>MID($BA83,5,1)</f>
        <v>1</v>
      </c>
      <c r="BB88" s="47" t="str">
        <f>MID($BB83,5,1)</f>
        <v>1</v>
      </c>
      <c r="BC88" s="44"/>
      <c r="BD88" s="44"/>
      <c r="BE88" s="44"/>
      <c r="BF88" s="44"/>
      <c r="BG88" s="55" t="s">
        <v>772</v>
      </c>
      <c r="BH88" s="175" t="s">
        <v>773</v>
      </c>
      <c r="BI88" s="175"/>
      <c r="BJ88" s="175"/>
      <c r="BK88" s="47" t="str">
        <f>MID($BK84,4,1)</f>
        <v>1</v>
      </c>
      <c r="BL88" s="47" t="str">
        <f>MID($BL84,4,1)</f>
        <v>1</v>
      </c>
      <c r="BM88" s="57"/>
    </row>
    <row r="89" spans="48:65" x14ac:dyDescent="0.3">
      <c r="AV89" s="56"/>
      <c r="AW89" s="55" t="s">
        <v>774</v>
      </c>
      <c r="AX89" s="175" t="s">
        <v>775</v>
      </c>
      <c r="AY89" s="175"/>
      <c r="AZ89" s="175"/>
      <c r="BA89" s="47" t="str">
        <f>MID($BA83,6,1)</f>
        <v>1</v>
      </c>
      <c r="BB89" s="47" t="str">
        <f>MID($BB83,6,1)</f>
        <v>1</v>
      </c>
      <c r="BC89" s="44"/>
      <c r="BD89" s="44"/>
      <c r="BE89" s="44"/>
      <c r="BF89" s="44"/>
      <c r="BG89" s="55" t="s">
        <v>776</v>
      </c>
      <c r="BH89" s="175" t="s">
        <v>777</v>
      </c>
      <c r="BI89" s="175"/>
      <c r="BJ89" s="175"/>
      <c r="BK89" s="47" t="str">
        <f>MID($BK84,5,1)</f>
        <v>1</v>
      </c>
      <c r="BL89" s="47" t="str">
        <f>MID($BL84,5,1)</f>
        <v>1</v>
      </c>
      <c r="BM89" s="57"/>
    </row>
    <row r="90" spans="48:65" x14ac:dyDescent="0.3">
      <c r="AV90" s="56"/>
      <c r="AW90" s="55" t="s">
        <v>778</v>
      </c>
      <c r="AX90" s="175" t="s">
        <v>779</v>
      </c>
      <c r="AY90" s="175"/>
      <c r="AZ90" s="175"/>
      <c r="BA90" s="47" t="str">
        <f>MID($BA83,7,1)</f>
        <v>1</v>
      </c>
      <c r="BB90" s="47" t="str">
        <f>MID($BB83,7,1)</f>
        <v>1</v>
      </c>
      <c r="BC90" s="44"/>
      <c r="BD90" s="44"/>
      <c r="BE90" s="44"/>
      <c r="BF90" s="44"/>
      <c r="BG90" s="55" t="s">
        <v>780</v>
      </c>
      <c r="BH90" s="175" t="s">
        <v>781</v>
      </c>
      <c r="BI90" s="175"/>
      <c r="BJ90" s="175"/>
      <c r="BK90" s="47" t="str">
        <f>MID($BK84,6,1)</f>
        <v>1</v>
      </c>
      <c r="BL90" s="47" t="str">
        <f>MID($BL84,6,1)</f>
        <v>1</v>
      </c>
      <c r="BM90" s="57"/>
    </row>
    <row r="91" spans="48:65" x14ac:dyDescent="0.3">
      <c r="AV91" s="56"/>
      <c r="AW91" s="55" t="s">
        <v>782</v>
      </c>
      <c r="AX91" s="175" t="s">
        <v>783</v>
      </c>
      <c r="AY91" s="175"/>
      <c r="AZ91" s="175"/>
      <c r="BA91" s="47" t="str">
        <f>MID($BA83,8,1)</f>
        <v>1</v>
      </c>
      <c r="BB91" s="47" t="str">
        <f>MID($BB83,8,1)</f>
        <v>1</v>
      </c>
      <c r="BC91" s="44"/>
      <c r="BD91" s="44"/>
      <c r="BE91" s="44"/>
      <c r="BF91" s="44"/>
      <c r="BG91" s="55" t="s">
        <v>784</v>
      </c>
      <c r="BH91" s="175" t="s">
        <v>785</v>
      </c>
      <c r="BI91" s="175"/>
      <c r="BJ91" s="175"/>
      <c r="BK91" s="47" t="str">
        <f>MID($BK84,7,1)</f>
        <v>1</v>
      </c>
      <c r="BL91" s="47" t="str">
        <f>MID($BL84,7,1)</f>
        <v>1</v>
      </c>
      <c r="BM91" s="57"/>
    </row>
    <row r="92" spans="48:65" x14ac:dyDescent="0.3">
      <c r="AV92" s="56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55" t="s">
        <v>786</v>
      </c>
      <c r="BH92" s="175" t="s">
        <v>787</v>
      </c>
      <c r="BI92" s="175"/>
      <c r="BJ92" s="175"/>
      <c r="BK92" s="47" t="str">
        <f>MID($BK84,8,1)</f>
        <v>0</v>
      </c>
      <c r="BL92" s="47" t="str">
        <f>MID($BL84,8,1)</f>
        <v>0</v>
      </c>
      <c r="BM92" s="57"/>
    </row>
    <row r="93" spans="48:65" x14ac:dyDescent="0.3">
      <c r="AV93" s="56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57"/>
    </row>
    <row r="94" spans="48:65" x14ac:dyDescent="0.3">
      <c r="AV94" s="56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57"/>
    </row>
    <row r="95" spans="48:65" x14ac:dyDescent="0.3">
      <c r="AV95" s="56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57"/>
    </row>
    <row r="96" spans="48:65" x14ac:dyDescent="0.3">
      <c r="AV96" s="56"/>
      <c r="AW96" s="55"/>
      <c r="AX96" s="176" t="s">
        <v>75</v>
      </c>
      <c r="AY96" s="176"/>
      <c r="AZ96" s="176"/>
      <c r="BA96" s="1" t="s">
        <v>19</v>
      </c>
      <c r="BB96" s="1" t="s">
        <v>2</v>
      </c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57"/>
    </row>
    <row r="97" spans="48:65" x14ac:dyDescent="0.3">
      <c r="AV97" s="56"/>
      <c r="AW97" s="2" t="s">
        <v>569</v>
      </c>
      <c r="AX97" s="177" t="s">
        <v>395</v>
      </c>
      <c r="AY97" s="177"/>
      <c r="AZ97" s="177"/>
      <c r="BA97" s="58" t="str">
        <f>AN32</f>
        <v>10110111</v>
      </c>
      <c r="BB97" s="58" t="str">
        <f>AO32</f>
        <v>11110111</v>
      </c>
      <c r="BC97" s="44"/>
      <c r="BD97" s="44"/>
      <c r="BE97" s="44"/>
      <c r="BF97" s="44"/>
      <c r="BG97" s="55"/>
      <c r="BH97" s="176" t="s">
        <v>75</v>
      </c>
      <c r="BI97" s="176"/>
      <c r="BJ97" s="176"/>
      <c r="BK97" s="1" t="s">
        <v>19</v>
      </c>
      <c r="BL97" s="1" t="s">
        <v>2</v>
      </c>
      <c r="BM97" s="57"/>
    </row>
    <row r="98" spans="48:65" x14ac:dyDescent="0.3">
      <c r="AV98" s="56"/>
      <c r="AW98" s="55" t="s">
        <v>788</v>
      </c>
      <c r="AX98" s="175" t="s">
        <v>789</v>
      </c>
      <c r="AY98" s="175"/>
      <c r="AZ98" s="175"/>
      <c r="BA98" s="47" t="str">
        <f>MID($BA97,1,1)</f>
        <v>1</v>
      </c>
      <c r="BB98" s="47" t="str">
        <f>MID($BB97,1,1)</f>
        <v>1</v>
      </c>
      <c r="BC98" s="44"/>
      <c r="BD98" s="44"/>
      <c r="BE98" s="44"/>
      <c r="BF98" s="44"/>
      <c r="BG98" s="2" t="s">
        <v>632</v>
      </c>
      <c r="BH98" s="177" t="s">
        <v>395</v>
      </c>
      <c r="BI98" s="177"/>
      <c r="BJ98" s="177"/>
      <c r="BK98" s="58" t="str">
        <f>AN44</f>
        <v>00011111</v>
      </c>
      <c r="BL98" s="58" t="str">
        <f>AO44</f>
        <v>00011111</v>
      </c>
      <c r="BM98" s="57"/>
    </row>
    <row r="99" spans="48:65" x14ac:dyDescent="0.3">
      <c r="AV99" s="56"/>
      <c r="AW99" s="55" t="s">
        <v>790</v>
      </c>
      <c r="AX99" s="175" t="s">
        <v>791</v>
      </c>
      <c r="AY99" s="175"/>
      <c r="AZ99" s="175"/>
      <c r="BA99" s="47" t="str">
        <f>MID($BA97,2,1)</f>
        <v>0</v>
      </c>
      <c r="BB99" s="47" t="str">
        <f>MID($BB97,2,1)</f>
        <v>1</v>
      </c>
      <c r="BC99" s="44"/>
      <c r="BD99" s="44"/>
      <c r="BE99" s="44"/>
      <c r="BF99" s="44"/>
      <c r="BG99" s="55" t="s">
        <v>792</v>
      </c>
      <c r="BH99" s="175" t="s">
        <v>793</v>
      </c>
      <c r="BI99" s="175"/>
      <c r="BJ99" s="175"/>
      <c r="BK99" s="47" t="str">
        <f>MID($BK98,1,1)</f>
        <v>0</v>
      </c>
      <c r="BL99" s="47" t="str">
        <f>MID($BL98,1,1)</f>
        <v>0</v>
      </c>
      <c r="BM99" s="57"/>
    </row>
    <row r="100" spans="48:65" x14ac:dyDescent="0.3">
      <c r="AV100" s="56"/>
      <c r="AW100" s="55" t="s">
        <v>794</v>
      </c>
      <c r="AX100" s="175" t="s">
        <v>795</v>
      </c>
      <c r="AY100" s="175"/>
      <c r="AZ100" s="175"/>
      <c r="BA100" s="47" t="str">
        <f>MID($BA97,3,1)</f>
        <v>1</v>
      </c>
      <c r="BB100" s="47" t="str">
        <f>MID($BB97,3,1)</f>
        <v>1</v>
      </c>
      <c r="BC100" s="44"/>
      <c r="BD100" s="44"/>
      <c r="BE100" s="44"/>
      <c r="BF100" s="44"/>
      <c r="BG100" s="55" t="s">
        <v>796</v>
      </c>
      <c r="BH100" s="175" t="s">
        <v>797</v>
      </c>
      <c r="BI100" s="175"/>
      <c r="BJ100" s="175"/>
      <c r="BK100" s="47" t="str">
        <f>MID($BK98,2,1)</f>
        <v>0</v>
      </c>
      <c r="BL100" s="47" t="str">
        <f>MID($BL98,2,1)</f>
        <v>0</v>
      </c>
      <c r="BM100" s="57"/>
    </row>
    <row r="101" spans="48:65" x14ac:dyDescent="0.3">
      <c r="AV101" s="56"/>
      <c r="AW101" s="55" t="s">
        <v>798</v>
      </c>
      <c r="AX101" s="175" t="s">
        <v>799</v>
      </c>
      <c r="AY101" s="175"/>
      <c r="AZ101" s="175"/>
      <c r="BA101" s="47" t="str">
        <f>MID($BA97,4,1)</f>
        <v>1</v>
      </c>
      <c r="BB101" s="47" t="str">
        <f>MID($BB97,4,1)</f>
        <v>1</v>
      </c>
      <c r="BC101" s="44"/>
      <c r="BD101" s="44"/>
      <c r="BE101" s="44"/>
      <c r="BF101" s="44"/>
      <c r="BG101" s="55" t="s">
        <v>800</v>
      </c>
      <c r="BH101" s="175" t="s">
        <v>801</v>
      </c>
      <c r="BI101" s="175"/>
      <c r="BJ101" s="175"/>
      <c r="BK101" s="47" t="str">
        <f>MID($BK98,3,1)</f>
        <v>0</v>
      </c>
      <c r="BL101" s="47" t="str">
        <f>MID($BL98,3,1)</f>
        <v>0</v>
      </c>
      <c r="BM101" s="57"/>
    </row>
    <row r="102" spans="48:65" x14ac:dyDescent="0.3">
      <c r="AV102" s="56"/>
      <c r="AW102" s="55" t="s">
        <v>802</v>
      </c>
      <c r="AX102" s="175" t="s">
        <v>803</v>
      </c>
      <c r="AY102" s="175"/>
      <c r="AZ102" s="175"/>
      <c r="BA102" s="47" t="str">
        <f>MID($BA97,5,1)</f>
        <v>0</v>
      </c>
      <c r="BB102" s="47" t="str">
        <f>MID($BB97,5,1)</f>
        <v>0</v>
      </c>
      <c r="BC102" s="44"/>
      <c r="BD102" s="44"/>
      <c r="BE102" s="44"/>
      <c r="BF102" s="44"/>
      <c r="BG102" s="55" t="s">
        <v>804</v>
      </c>
      <c r="BH102" s="175" t="s">
        <v>805</v>
      </c>
      <c r="BI102" s="175"/>
      <c r="BJ102" s="175"/>
      <c r="BK102" s="47" t="str">
        <f>MID($BK98,4,1)</f>
        <v>1</v>
      </c>
      <c r="BL102" s="47" t="str">
        <f>MID($BL98,4,1)</f>
        <v>1</v>
      </c>
      <c r="BM102" s="57"/>
    </row>
    <row r="103" spans="48:65" x14ac:dyDescent="0.3">
      <c r="AV103" s="56"/>
      <c r="AW103" s="55" t="s">
        <v>806</v>
      </c>
      <c r="AX103" s="175" t="s">
        <v>807</v>
      </c>
      <c r="AY103" s="175"/>
      <c r="AZ103" s="175"/>
      <c r="BA103" s="47" t="str">
        <f>MID($BA97,6,1)</f>
        <v>1</v>
      </c>
      <c r="BB103" s="47" t="str">
        <f>MID($BB97,6,1)</f>
        <v>1</v>
      </c>
      <c r="BC103" s="44"/>
      <c r="BD103" s="44"/>
      <c r="BE103" s="44"/>
      <c r="BF103" s="44"/>
      <c r="BG103" s="55" t="s">
        <v>808</v>
      </c>
      <c r="BH103" s="175" t="s">
        <v>809</v>
      </c>
      <c r="BI103" s="175"/>
      <c r="BJ103" s="175"/>
      <c r="BK103" s="47" t="str">
        <f>MID($BK98,5,1)</f>
        <v>1</v>
      </c>
      <c r="BL103" s="47" t="str">
        <f>MID($BL98,5,1)</f>
        <v>1</v>
      </c>
      <c r="BM103" s="57"/>
    </row>
    <row r="104" spans="48:65" x14ac:dyDescent="0.3">
      <c r="AV104" s="56"/>
      <c r="AW104" s="55" t="s">
        <v>810</v>
      </c>
      <c r="AX104" s="175" t="s">
        <v>811</v>
      </c>
      <c r="AY104" s="175"/>
      <c r="AZ104" s="175"/>
      <c r="BA104" s="47" t="str">
        <f>MID($BA97,7,1)</f>
        <v>1</v>
      </c>
      <c r="BB104" s="47" t="str">
        <f>MID($BB97,7,1)</f>
        <v>1</v>
      </c>
      <c r="BC104" s="44"/>
      <c r="BD104" s="44"/>
      <c r="BE104" s="44"/>
      <c r="BF104" s="44"/>
      <c r="BG104" s="55" t="s">
        <v>812</v>
      </c>
      <c r="BH104" s="175" t="s">
        <v>813</v>
      </c>
      <c r="BI104" s="175"/>
      <c r="BJ104" s="175"/>
      <c r="BK104" s="47" t="str">
        <f>MID($BK98,6,1)</f>
        <v>1</v>
      </c>
      <c r="BL104" s="47" t="str">
        <f>MID($BL98,6,1)</f>
        <v>1</v>
      </c>
      <c r="BM104" s="57"/>
    </row>
    <row r="105" spans="48:65" x14ac:dyDescent="0.3">
      <c r="AV105" s="56"/>
      <c r="AW105" s="55" t="s">
        <v>814</v>
      </c>
      <c r="AX105" s="175" t="s">
        <v>815</v>
      </c>
      <c r="AY105" s="175"/>
      <c r="AZ105" s="175"/>
      <c r="BA105" s="47" t="str">
        <f>MID($BA97,8,1)</f>
        <v>1</v>
      </c>
      <c r="BB105" s="47" t="str">
        <f>MID($BB97,8,1)</f>
        <v>1</v>
      </c>
      <c r="BC105" s="44"/>
      <c r="BD105" s="44"/>
      <c r="BE105" s="44"/>
      <c r="BF105" s="44"/>
      <c r="BG105" s="55" t="s">
        <v>816</v>
      </c>
      <c r="BH105" s="175" t="s">
        <v>817</v>
      </c>
      <c r="BI105" s="175"/>
      <c r="BJ105" s="175"/>
      <c r="BK105" s="47" t="str">
        <f>MID($BK98,7,1)</f>
        <v>1</v>
      </c>
      <c r="BL105" s="47" t="str">
        <f>MID($BL98,7,1)</f>
        <v>1</v>
      </c>
      <c r="BM105" s="57"/>
    </row>
    <row r="106" spans="48:65" x14ac:dyDescent="0.3">
      <c r="AV106" s="56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55" t="s">
        <v>818</v>
      </c>
      <c r="BH106" s="175" t="s">
        <v>819</v>
      </c>
      <c r="BI106" s="175"/>
      <c r="BJ106" s="175"/>
      <c r="BK106" s="47" t="str">
        <f>MID($BK98,8,1)</f>
        <v>1</v>
      </c>
      <c r="BL106" s="47" t="str">
        <f>MID($BL98,8,1)</f>
        <v>1</v>
      </c>
      <c r="BM106" s="57"/>
    </row>
    <row r="107" spans="48:65" x14ac:dyDescent="0.3">
      <c r="AV107" s="56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57"/>
    </row>
    <row r="108" spans="48:65" x14ac:dyDescent="0.3">
      <c r="AV108" s="56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57"/>
    </row>
    <row r="109" spans="48:65" x14ac:dyDescent="0.3">
      <c r="AV109" s="56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57"/>
    </row>
    <row r="110" spans="48:65" x14ac:dyDescent="0.3">
      <c r="AV110" s="56"/>
      <c r="AW110" s="55"/>
      <c r="AX110" s="176" t="s">
        <v>75</v>
      </c>
      <c r="AY110" s="176"/>
      <c r="AZ110" s="176"/>
      <c r="BA110" s="1" t="s">
        <v>19</v>
      </c>
      <c r="BB110" s="1" t="s">
        <v>2</v>
      </c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57"/>
    </row>
    <row r="111" spans="48:65" x14ac:dyDescent="0.3">
      <c r="AV111" s="56"/>
      <c r="AW111" s="2" t="s">
        <v>576</v>
      </c>
      <c r="AX111" s="177" t="s">
        <v>395</v>
      </c>
      <c r="AY111" s="177"/>
      <c r="AZ111" s="177"/>
      <c r="BA111" s="58" t="str">
        <f>AN33</f>
        <v>10011111</v>
      </c>
      <c r="BB111" s="58" t="str">
        <f>AO33</f>
        <v>10011111</v>
      </c>
      <c r="BC111" s="44"/>
      <c r="BD111" s="44"/>
      <c r="BE111" s="44"/>
      <c r="BF111" s="44"/>
      <c r="BG111" s="55"/>
      <c r="BH111" s="176" t="s">
        <v>75</v>
      </c>
      <c r="BI111" s="176"/>
      <c r="BJ111" s="176"/>
      <c r="BK111" s="1" t="s">
        <v>19</v>
      </c>
      <c r="BL111" s="1" t="s">
        <v>2</v>
      </c>
      <c r="BM111" s="57"/>
    </row>
    <row r="112" spans="48:65" x14ac:dyDescent="0.3">
      <c r="AV112" s="56"/>
      <c r="AW112" s="55" t="s">
        <v>253</v>
      </c>
      <c r="AX112" s="175" t="s">
        <v>820</v>
      </c>
      <c r="AY112" s="175"/>
      <c r="AZ112" s="175"/>
      <c r="BA112" s="47" t="str">
        <f>MID($BA111,1,1)</f>
        <v>1</v>
      </c>
      <c r="BB112" s="47" t="str">
        <f>MID($BB111,1,1)</f>
        <v>1</v>
      </c>
      <c r="BC112" s="44"/>
      <c r="BD112" s="44"/>
      <c r="BE112" s="44"/>
      <c r="BF112" s="44"/>
      <c r="BG112" s="2" t="s">
        <v>641</v>
      </c>
      <c r="BH112" s="177" t="s">
        <v>628</v>
      </c>
      <c r="BI112" s="177"/>
      <c r="BJ112" s="177"/>
      <c r="BK112" s="58" t="str">
        <f>AN46</f>
        <v>11111001</v>
      </c>
      <c r="BL112" s="58" t="str">
        <f>AO46</f>
        <v>11111001</v>
      </c>
      <c r="BM112" s="57"/>
    </row>
    <row r="113" spans="48:65" x14ac:dyDescent="0.3">
      <c r="AV113" s="56"/>
      <c r="AW113" s="55" t="s">
        <v>256</v>
      </c>
      <c r="AX113" s="175" t="s">
        <v>821</v>
      </c>
      <c r="AY113" s="175"/>
      <c r="AZ113" s="175"/>
      <c r="BA113" s="47" t="str">
        <f>MID($BA111,2,1)</f>
        <v>0</v>
      </c>
      <c r="BB113" s="47" t="str">
        <f>MID($BB111,2,1)</f>
        <v>0</v>
      </c>
      <c r="BC113" s="44"/>
      <c r="BD113" s="44"/>
      <c r="BE113" s="44"/>
      <c r="BF113" s="44"/>
      <c r="BG113" s="55" t="s">
        <v>822</v>
      </c>
      <c r="BH113" s="175" t="s">
        <v>823</v>
      </c>
      <c r="BI113" s="175"/>
      <c r="BJ113" s="175"/>
      <c r="BK113" s="47" t="str">
        <f>MID($BK112,1,1)</f>
        <v>1</v>
      </c>
      <c r="BL113" s="47" t="str">
        <f>MID($BL112,1,1)</f>
        <v>1</v>
      </c>
      <c r="BM113" s="57"/>
    </row>
    <row r="114" spans="48:65" x14ac:dyDescent="0.3">
      <c r="AV114" s="56"/>
      <c r="AW114" s="55" t="s">
        <v>824</v>
      </c>
      <c r="AX114" s="175" t="s">
        <v>825</v>
      </c>
      <c r="AY114" s="175"/>
      <c r="AZ114" s="175"/>
      <c r="BA114" s="47" t="str">
        <f>MID($BA111,3,1)</f>
        <v>0</v>
      </c>
      <c r="BB114" s="47" t="str">
        <f>MID($BB111,3,1)</f>
        <v>0</v>
      </c>
      <c r="BC114" s="44"/>
      <c r="BD114" s="44"/>
      <c r="BE114" s="44"/>
      <c r="BF114" s="44"/>
      <c r="BG114" s="55" t="s">
        <v>826</v>
      </c>
      <c r="BH114" s="175" t="s">
        <v>827</v>
      </c>
      <c r="BI114" s="175"/>
      <c r="BJ114" s="175"/>
      <c r="BK114" s="47" t="str">
        <f>MID($BK112,2,1)</f>
        <v>1</v>
      </c>
      <c r="BL114" s="47" t="str">
        <f>MID($BL112,2,1)</f>
        <v>1</v>
      </c>
      <c r="BM114" s="57"/>
    </row>
    <row r="115" spans="48:65" x14ac:dyDescent="0.3">
      <c r="AV115" s="56"/>
      <c r="AW115" s="55" t="s">
        <v>828</v>
      </c>
      <c r="AX115" s="175" t="s">
        <v>829</v>
      </c>
      <c r="AY115" s="175"/>
      <c r="AZ115" s="175"/>
      <c r="BA115" s="47" t="str">
        <f>MID($BA111,4,1)</f>
        <v>1</v>
      </c>
      <c r="BB115" s="47" t="str">
        <f>MID($BB111,4,1)</f>
        <v>1</v>
      </c>
      <c r="BC115" s="44"/>
      <c r="BD115" s="44"/>
      <c r="BE115" s="44"/>
      <c r="BF115" s="44"/>
      <c r="BG115" s="55" t="s">
        <v>830</v>
      </c>
      <c r="BH115" s="175" t="s">
        <v>831</v>
      </c>
      <c r="BI115" s="175"/>
      <c r="BJ115" s="175"/>
      <c r="BK115" s="47" t="str">
        <f>MID($BK112,3,1)</f>
        <v>1</v>
      </c>
      <c r="BL115" s="47" t="str">
        <f>MID($BL112,3,1)</f>
        <v>1</v>
      </c>
      <c r="BM115" s="57"/>
    </row>
    <row r="116" spans="48:65" x14ac:dyDescent="0.3">
      <c r="AV116" s="56"/>
      <c r="AW116" s="55" t="s">
        <v>832</v>
      </c>
      <c r="AX116" s="175" t="s">
        <v>833</v>
      </c>
      <c r="AY116" s="175"/>
      <c r="AZ116" s="175"/>
      <c r="BA116" s="47" t="str">
        <f>MID($BA111,5,1)</f>
        <v>1</v>
      </c>
      <c r="BB116" s="47" t="str">
        <f>MID($BB111,5,1)</f>
        <v>1</v>
      </c>
      <c r="BC116" s="44"/>
      <c r="BD116" s="44"/>
      <c r="BE116" s="44"/>
      <c r="BF116" s="44"/>
      <c r="BG116" s="55" t="s">
        <v>834</v>
      </c>
      <c r="BH116" s="175" t="s">
        <v>835</v>
      </c>
      <c r="BI116" s="175"/>
      <c r="BJ116" s="175"/>
      <c r="BK116" s="47" t="str">
        <f>MID($BK112,4,1)</f>
        <v>1</v>
      </c>
      <c r="BL116" s="47" t="str">
        <f>MID($BL112,4,1)</f>
        <v>1</v>
      </c>
      <c r="BM116" s="57"/>
    </row>
    <row r="117" spans="48:65" x14ac:dyDescent="0.3">
      <c r="AV117" s="56"/>
      <c r="AW117" s="55" t="s">
        <v>836</v>
      </c>
      <c r="AX117" s="175" t="s">
        <v>837</v>
      </c>
      <c r="AY117" s="175"/>
      <c r="AZ117" s="175"/>
      <c r="BA117" s="47" t="str">
        <f>MID($BA111,6,1)</f>
        <v>1</v>
      </c>
      <c r="BB117" s="47" t="str">
        <f>MID($BB111,6,1)</f>
        <v>1</v>
      </c>
      <c r="BC117" s="44"/>
      <c r="BD117" s="44"/>
      <c r="BE117" s="44"/>
      <c r="BF117" s="44"/>
      <c r="BG117" s="55" t="s">
        <v>838</v>
      </c>
      <c r="BH117" s="175" t="s">
        <v>839</v>
      </c>
      <c r="BI117" s="175"/>
      <c r="BJ117" s="175"/>
      <c r="BK117" s="47" t="str">
        <f>MID($BK112,5,1)</f>
        <v>1</v>
      </c>
      <c r="BL117" s="47" t="str">
        <f>MID($BL112,5,1)</f>
        <v>1</v>
      </c>
      <c r="BM117" s="57"/>
    </row>
    <row r="118" spans="48:65" x14ac:dyDescent="0.3">
      <c r="AV118" s="56"/>
      <c r="AW118" s="55" t="s">
        <v>840</v>
      </c>
      <c r="AX118" s="175" t="s">
        <v>841</v>
      </c>
      <c r="AY118" s="175"/>
      <c r="AZ118" s="175"/>
      <c r="BA118" s="47" t="str">
        <f>MID($BA111,7,1)</f>
        <v>1</v>
      </c>
      <c r="BB118" s="47" t="str">
        <f>MID($BB111,7,1)</f>
        <v>1</v>
      </c>
      <c r="BC118" s="44"/>
      <c r="BD118" s="44"/>
      <c r="BE118" s="44"/>
      <c r="BF118" s="44"/>
      <c r="BG118" s="55" t="s">
        <v>842</v>
      </c>
      <c r="BH118" s="175" t="s">
        <v>843</v>
      </c>
      <c r="BI118" s="175"/>
      <c r="BJ118" s="175"/>
      <c r="BK118" s="47" t="str">
        <f>MID($BK112,6,1)</f>
        <v>0</v>
      </c>
      <c r="BL118" s="47" t="str">
        <f>MID($BL112,6,1)</f>
        <v>0</v>
      </c>
      <c r="BM118" s="57"/>
    </row>
    <row r="119" spans="48:65" x14ac:dyDescent="0.3">
      <c r="AV119" s="56"/>
      <c r="AW119" s="55" t="s">
        <v>844</v>
      </c>
      <c r="AX119" s="175" t="s">
        <v>845</v>
      </c>
      <c r="AY119" s="175"/>
      <c r="AZ119" s="175"/>
      <c r="BA119" s="47" t="str">
        <f>MID($BA111,8,1)</f>
        <v>1</v>
      </c>
      <c r="BB119" s="47" t="str">
        <f>MID($BB111,8,1)</f>
        <v>1</v>
      </c>
      <c r="BC119" s="44"/>
      <c r="BD119" s="44"/>
      <c r="BE119" s="44"/>
      <c r="BF119" s="44"/>
      <c r="BG119" s="55" t="s">
        <v>846</v>
      </c>
      <c r="BH119" s="175" t="s">
        <v>847</v>
      </c>
      <c r="BI119" s="175"/>
      <c r="BJ119" s="175"/>
      <c r="BK119" s="47" t="str">
        <f>MID($BK112,7,1)</f>
        <v>0</v>
      </c>
      <c r="BL119" s="47" t="str">
        <f>MID($BL112,7,1)</f>
        <v>0</v>
      </c>
      <c r="BM119" s="57"/>
    </row>
    <row r="120" spans="48:65" x14ac:dyDescent="0.3">
      <c r="AV120" s="56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55" t="s">
        <v>848</v>
      </c>
      <c r="BH120" s="175" t="s">
        <v>849</v>
      </c>
      <c r="BI120" s="175"/>
      <c r="BJ120" s="175"/>
      <c r="BK120" s="47" t="str">
        <f>MID($BK112,8,1)</f>
        <v>1</v>
      </c>
      <c r="BL120" s="47" t="str">
        <f>MID($BL112,8,1)</f>
        <v>1</v>
      </c>
      <c r="BM120" s="57"/>
    </row>
    <row r="121" spans="48:65" x14ac:dyDescent="0.3">
      <c r="AV121" s="56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57"/>
    </row>
    <row r="122" spans="48:65" x14ac:dyDescent="0.3">
      <c r="AV122" s="56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57"/>
    </row>
    <row r="123" spans="48:65" x14ac:dyDescent="0.3">
      <c r="AV123" s="56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57"/>
    </row>
    <row r="124" spans="48:65" x14ac:dyDescent="0.3">
      <c r="AV124" s="56"/>
      <c r="AW124" s="55"/>
      <c r="AX124" s="176" t="s">
        <v>75</v>
      </c>
      <c r="AY124" s="176"/>
      <c r="AZ124" s="176"/>
      <c r="BA124" s="1" t="s">
        <v>19</v>
      </c>
      <c r="BB124" s="1" t="s">
        <v>2</v>
      </c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57"/>
    </row>
    <row r="125" spans="48:65" x14ac:dyDescent="0.3">
      <c r="AV125" s="56"/>
      <c r="AW125" s="2" t="s">
        <v>585</v>
      </c>
      <c r="AX125" s="177" t="s">
        <v>395</v>
      </c>
      <c r="AY125" s="177"/>
      <c r="AZ125" s="177"/>
      <c r="BA125" s="58">
        <f>AN34</f>
        <v>1111</v>
      </c>
      <c r="BB125" s="58" t="str">
        <f>AO34</f>
        <v>1111</v>
      </c>
      <c r="BC125" s="44"/>
      <c r="BD125" s="44"/>
      <c r="BE125" s="44"/>
      <c r="BF125" s="44"/>
      <c r="BG125" s="55"/>
      <c r="BH125" s="176" t="s">
        <v>75</v>
      </c>
      <c r="BI125" s="176"/>
      <c r="BJ125" s="176"/>
      <c r="BK125" s="1" t="s">
        <v>19</v>
      </c>
      <c r="BL125" s="1" t="s">
        <v>2</v>
      </c>
      <c r="BM125" s="57"/>
    </row>
    <row r="126" spans="48:65" x14ac:dyDescent="0.3">
      <c r="AV126" s="56"/>
      <c r="AW126" s="55" t="s">
        <v>850</v>
      </c>
      <c r="AX126" s="175" t="s">
        <v>851</v>
      </c>
      <c r="AY126" s="175"/>
      <c r="AZ126" s="175"/>
      <c r="BA126" s="47" t="str">
        <f>MID($BA125,1,1)</f>
        <v>1</v>
      </c>
      <c r="BB126" s="47" t="str">
        <f>MID($BB125,1,1)</f>
        <v>1</v>
      </c>
      <c r="BC126" s="44"/>
      <c r="BD126" s="44"/>
      <c r="BE126" s="44"/>
      <c r="BF126" s="44"/>
      <c r="BG126" s="2" t="s">
        <v>645</v>
      </c>
      <c r="BH126" s="177" t="s">
        <v>628</v>
      </c>
      <c r="BI126" s="177"/>
      <c r="BJ126" s="177"/>
      <c r="BK126" s="58">
        <f>AN47</f>
        <v>1011</v>
      </c>
      <c r="BL126" s="58" t="str">
        <f>AO47</f>
        <v>1011</v>
      </c>
      <c r="BM126" s="57"/>
    </row>
    <row r="127" spans="48:65" x14ac:dyDescent="0.3">
      <c r="AV127" s="56"/>
      <c r="AW127" s="55" t="s">
        <v>852</v>
      </c>
      <c r="AX127" s="175" t="s">
        <v>853</v>
      </c>
      <c r="AY127" s="175"/>
      <c r="AZ127" s="175"/>
      <c r="BA127" s="47" t="str">
        <f>MID($BA125,2,1)</f>
        <v>1</v>
      </c>
      <c r="BB127" s="47" t="str">
        <f>MID($BB125,2,1)</f>
        <v>1</v>
      </c>
      <c r="BC127" s="44"/>
      <c r="BD127" s="44"/>
      <c r="BE127" s="44"/>
      <c r="BF127" s="44"/>
      <c r="BG127" s="55" t="s">
        <v>854</v>
      </c>
      <c r="BH127" s="175" t="s">
        <v>855</v>
      </c>
      <c r="BI127" s="175"/>
      <c r="BJ127" s="175"/>
      <c r="BK127" s="47" t="str">
        <f>MID($BK126,1,1)</f>
        <v>1</v>
      </c>
      <c r="BL127" s="47" t="str">
        <f>MID($BL126,1,1)</f>
        <v>1</v>
      </c>
      <c r="BM127" s="57"/>
    </row>
    <row r="128" spans="48:65" x14ac:dyDescent="0.3">
      <c r="AV128" s="56"/>
      <c r="AW128" s="55" t="s">
        <v>856</v>
      </c>
      <c r="AX128" s="175" t="s">
        <v>857</v>
      </c>
      <c r="AY128" s="175"/>
      <c r="AZ128" s="175"/>
      <c r="BA128" s="47" t="str">
        <f>MID($BA125,3,1)</f>
        <v>1</v>
      </c>
      <c r="BB128" s="47" t="str">
        <f>MID($BB125,3,1)</f>
        <v>1</v>
      </c>
      <c r="BC128" s="44"/>
      <c r="BD128" s="44"/>
      <c r="BE128" s="44"/>
      <c r="BF128" s="44"/>
      <c r="BG128" s="55" t="s">
        <v>858</v>
      </c>
      <c r="BH128" s="175" t="s">
        <v>859</v>
      </c>
      <c r="BI128" s="175"/>
      <c r="BJ128" s="175"/>
      <c r="BK128" s="47" t="str">
        <f>MID($BK126,2,1)</f>
        <v>0</v>
      </c>
      <c r="BL128" s="47" t="str">
        <f>MID($BL126,2,1)</f>
        <v>0</v>
      </c>
      <c r="BM128" s="57"/>
    </row>
    <row r="129" spans="48:65" x14ac:dyDescent="0.3">
      <c r="AV129" s="56"/>
      <c r="AW129" s="55" t="s">
        <v>860</v>
      </c>
      <c r="AX129" s="175" t="s">
        <v>861</v>
      </c>
      <c r="AY129" s="175"/>
      <c r="AZ129" s="175"/>
      <c r="BA129" s="47" t="str">
        <f>MID($BA125,4,1)</f>
        <v>1</v>
      </c>
      <c r="BB129" s="47" t="str">
        <f>MID($BB125,4,1)</f>
        <v>1</v>
      </c>
      <c r="BC129" s="44"/>
      <c r="BD129" s="44"/>
      <c r="BE129" s="44"/>
      <c r="BF129" s="44"/>
      <c r="BG129" s="55" t="s">
        <v>862</v>
      </c>
      <c r="BH129" s="175" t="s">
        <v>863</v>
      </c>
      <c r="BI129" s="175"/>
      <c r="BJ129" s="175"/>
      <c r="BK129" s="47" t="str">
        <f>MID($BK126,3,1)</f>
        <v>1</v>
      </c>
      <c r="BL129" s="47" t="str">
        <f>MID($BL126,3,1)</f>
        <v>1</v>
      </c>
      <c r="BM129" s="57"/>
    </row>
    <row r="130" spans="48:65" x14ac:dyDescent="0.3">
      <c r="AV130" s="56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55" t="s">
        <v>864</v>
      </c>
      <c r="BH130" s="175" t="s">
        <v>865</v>
      </c>
      <c r="BI130" s="175"/>
      <c r="BJ130" s="175"/>
      <c r="BK130" s="47" t="str">
        <f>MID($BK126,4,1)</f>
        <v>1</v>
      </c>
      <c r="BL130" s="47" t="str">
        <f>MID($BL126,4,1)</f>
        <v>1</v>
      </c>
      <c r="BM130" s="57"/>
    </row>
    <row r="131" spans="48:65" x14ac:dyDescent="0.3">
      <c r="AV131" s="56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57"/>
    </row>
    <row r="132" spans="48:65" x14ac:dyDescent="0.3">
      <c r="AV132" s="63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5"/>
    </row>
  </sheetData>
  <mergeCells count="195">
    <mergeCell ref="AE31:AG31"/>
    <mergeCell ref="AE22:AG22"/>
    <mergeCell ref="AE23:AG23"/>
    <mergeCell ref="AE24:AG24"/>
    <mergeCell ref="AE25:AG25"/>
    <mergeCell ref="AE26:AG26"/>
    <mergeCell ref="AE27:AG27"/>
    <mergeCell ref="AE28:AG28"/>
    <mergeCell ref="AE29:AG29"/>
    <mergeCell ref="AE30:AG30"/>
    <mergeCell ref="BH113:BJ113"/>
    <mergeCell ref="BH114:BJ114"/>
    <mergeCell ref="BH115:BJ115"/>
    <mergeCell ref="BH116:BJ116"/>
    <mergeCell ref="BH117:BJ117"/>
    <mergeCell ref="BH118:BJ118"/>
    <mergeCell ref="BH119:BJ119"/>
    <mergeCell ref="BH120:BJ120"/>
    <mergeCell ref="BH100:BJ100"/>
    <mergeCell ref="BH101:BJ101"/>
    <mergeCell ref="BH102:BJ102"/>
    <mergeCell ref="BH103:BJ103"/>
    <mergeCell ref="BH104:BJ104"/>
    <mergeCell ref="BH105:BJ105"/>
    <mergeCell ref="BH106:BJ106"/>
    <mergeCell ref="BH111:BJ111"/>
    <mergeCell ref="BH112:BJ112"/>
    <mergeCell ref="BH87:BJ87"/>
    <mergeCell ref="BH88:BJ88"/>
    <mergeCell ref="BH89:BJ89"/>
    <mergeCell ref="BH90:BJ90"/>
    <mergeCell ref="BH91:BJ91"/>
    <mergeCell ref="BH92:BJ92"/>
    <mergeCell ref="BH97:BJ97"/>
    <mergeCell ref="BH98:BJ98"/>
    <mergeCell ref="BH99:BJ99"/>
    <mergeCell ref="BH75:BJ75"/>
    <mergeCell ref="BH76:BJ76"/>
    <mergeCell ref="BH77:BJ77"/>
    <mergeCell ref="BH78:BJ78"/>
    <mergeCell ref="BH83:BJ83"/>
    <mergeCell ref="BH84:BJ84"/>
    <mergeCell ref="BH85:BJ85"/>
    <mergeCell ref="BH86:BJ86"/>
    <mergeCell ref="BH65:BJ65"/>
    <mergeCell ref="BH66:BJ66"/>
    <mergeCell ref="BH67:BJ67"/>
    <mergeCell ref="BH68:BJ68"/>
    <mergeCell ref="BH73:BJ73"/>
    <mergeCell ref="BH74:BJ74"/>
    <mergeCell ref="BH52:BJ52"/>
    <mergeCell ref="BH53:BJ53"/>
    <mergeCell ref="BH54:BJ54"/>
    <mergeCell ref="BH59:BJ59"/>
    <mergeCell ref="BH60:BJ60"/>
    <mergeCell ref="BH61:BJ61"/>
    <mergeCell ref="BH62:BJ62"/>
    <mergeCell ref="BH63:BJ63"/>
    <mergeCell ref="BH64:BJ64"/>
    <mergeCell ref="BH39:BJ39"/>
    <mergeCell ref="BH40:BJ40"/>
    <mergeCell ref="BH45:BJ45"/>
    <mergeCell ref="BH46:BJ46"/>
    <mergeCell ref="BH47:BJ47"/>
    <mergeCell ref="BH48:BJ48"/>
    <mergeCell ref="BH49:BJ49"/>
    <mergeCell ref="BH50:BJ50"/>
    <mergeCell ref="BH51:BJ51"/>
    <mergeCell ref="BH26:BJ26"/>
    <mergeCell ref="BH31:BJ31"/>
    <mergeCell ref="BH32:BJ32"/>
    <mergeCell ref="BH33:BJ33"/>
    <mergeCell ref="BH34:BJ34"/>
    <mergeCell ref="BH35:BJ35"/>
    <mergeCell ref="BH36:BJ36"/>
    <mergeCell ref="BH37:BJ37"/>
    <mergeCell ref="BH38:BJ38"/>
    <mergeCell ref="BH17:BJ17"/>
    <mergeCell ref="BH18:BJ18"/>
    <mergeCell ref="BH19:BJ19"/>
    <mergeCell ref="BH20:BJ20"/>
    <mergeCell ref="BH21:BJ21"/>
    <mergeCell ref="BH22:BJ22"/>
    <mergeCell ref="BH23:BJ23"/>
    <mergeCell ref="BH24:BJ24"/>
    <mergeCell ref="BH25:BJ25"/>
    <mergeCell ref="AX126:AZ126"/>
    <mergeCell ref="AX127:AZ127"/>
    <mergeCell ref="AX128:AZ128"/>
    <mergeCell ref="AX129:AZ129"/>
    <mergeCell ref="BH3:BJ3"/>
    <mergeCell ref="BH4:BJ4"/>
    <mergeCell ref="BH5:BJ5"/>
    <mergeCell ref="BH6:BJ6"/>
    <mergeCell ref="BH7:BJ7"/>
    <mergeCell ref="BH8:BJ8"/>
    <mergeCell ref="BH9:BJ9"/>
    <mergeCell ref="BH10:BJ10"/>
    <mergeCell ref="BH11:BJ11"/>
    <mergeCell ref="BH12:BJ12"/>
    <mergeCell ref="AX125:AZ125"/>
    <mergeCell ref="AX116:AZ116"/>
    <mergeCell ref="AX117:AZ117"/>
    <mergeCell ref="AX118:AZ118"/>
    <mergeCell ref="AX119:AZ119"/>
    <mergeCell ref="AX124:AZ124"/>
    <mergeCell ref="AX111:AZ111"/>
    <mergeCell ref="AX112:AZ112"/>
    <mergeCell ref="AX113:AZ113"/>
    <mergeCell ref="AX114:AZ114"/>
    <mergeCell ref="AX115:AZ115"/>
    <mergeCell ref="AX102:AZ102"/>
    <mergeCell ref="AX103:AZ103"/>
    <mergeCell ref="AX104:AZ104"/>
    <mergeCell ref="AX105:AZ105"/>
    <mergeCell ref="AX110:AZ110"/>
    <mergeCell ref="AX97:AZ97"/>
    <mergeCell ref="AX98:AZ98"/>
    <mergeCell ref="AX99:AZ99"/>
    <mergeCell ref="AX100:AZ100"/>
    <mergeCell ref="AX101:AZ101"/>
    <mergeCell ref="AX88:AZ88"/>
    <mergeCell ref="AX89:AZ89"/>
    <mergeCell ref="AX90:AZ90"/>
    <mergeCell ref="AX91:AZ91"/>
    <mergeCell ref="AX96:AZ96"/>
    <mergeCell ref="AX83:AZ83"/>
    <mergeCell ref="AX84:AZ84"/>
    <mergeCell ref="AX85:AZ85"/>
    <mergeCell ref="AX86:AZ86"/>
    <mergeCell ref="AX87:AZ87"/>
    <mergeCell ref="AX74:AZ74"/>
    <mergeCell ref="AX75:AZ75"/>
    <mergeCell ref="AX76:AZ76"/>
    <mergeCell ref="AX77:AZ77"/>
    <mergeCell ref="AX82:AZ82"/>
    <mergeCell ref="AX69:AZ69"/>
    <mergeCell ref="AX70:AZ70"/>
    <mergeCell ref="AX71:AZ71"/>
    <mergeCell ref="AX72:AZ72"/>
    <mergeCell ref="AX73:AZ73"/>
    <mergeCell ref="AX61:AZ61"/>
    <mergeCell ref="AX62:AZ62"/>
    <mergeCell ref="AX63:AZ63"/>
    <mergeCell ref="AX58:AZ58"/>
    <mergeCell ref="AX68:AZ68"/>
    <mergeCell ref="AX55:AZ55"/>
    <mergeCell ref="AX56:AZ56"/>
    <mergeCell ref="AX57:AZ57"/>
    <mergeCell ref="AX59:AZ59"/>
    <mergeCell ref="AX60:AZ60"/>
    <mergeCell ref="AX47:AZ47"/>
    <mergeCell ref="AX48:AZ48"/>
    <mergeCell ref="AX49:AZ49"/>
    <mergeCell ref="AX54:AZ54"/>
    <mergeCell ref="AX42:AZ42"/>
    <mergeCell ref="AX43:AZ43"/>
    <mergeCell ref="AX44:AZ44"/>
    <mergeCell ref="AX45:AZ45"/>
    <mergeCell ref="AX46:AZ46"/>
    <mergeCell ref="AX19:AZ19"/>
    <mergeCell ref="AX20:AZ20"/>
    <mergeCell ref="AX35:AZ35"/>
    <mergeCell ref="AX36:AZ36"/>
    <mergeCell ref="AX37:AZ37"/>
    <mergeCell ref="AX29:AZ29"/>
    <mergeCell ref="AX30:AZ30"/>
    <mergeCell ref="AX31:AZ31"/>
    <mergeCell ref="AX32:AZ32"/>
    <mergeCell ref="AX33:AZ33"/>
    <mergeCell ref="AX34:AZ34"/>
    <mergeCell ref="AV2:BM2"/>
    <mergeCell ref="BH130:BJ130"/>
    <mergeCell ref="BH125:BJ125"/>
    <mergeCell ref="BH126:BJ126"/>
    <mergeCell ref="BH127:BJ127"/>
    <mergeCell ref="BH128:BJ128"/>
    <mergeCell ref="BH129:BJ129"/>
    <mergeCell ref="A20:M20"/>
    <mergeCell ref="AX21:AZ21"/>
    <mergeCell ref="AX22:AZ22"/>
    <mergeCell ref="AX23:AZ23"/>
    <mergeCell ref="AX24:AZ24"/>
    <mergeCell ref="AX3:AZ3"/>
    <mergeCell ref="AX4:AZ4"/>
    <mergeCell ref="AX5:AZ5"/>
    <mergeCell ref="AX6:AZ6"/>
    <mergeCell ref="AX7:AZ7"/>
    <mergeCell ref="AX8:AZ8"/>
    <mergeCell ref="AX9:AZ9"/>
    <mergeCell ref="AX10:AZ10"/>
    <mergeCell ref="AX11:AZ11"/>
    <mergeCell ref="AX16:AZ16"/>
    <mergeCell ref="AX17:AZ17"/>
    <mergeCell ref="AX18:AZ18"/>
  </mergeCells>
  <phoneticPr fontId="4" type="noConversion"/>
  <conditionalFormatting sqref="AH23:AI23">
    <cfRule type="uniqueValues" dxfId="662" priority="8"/>
  </conditionalFormatting>
  <conditionalFormatting sqref="AH24:AI24">
    <cfRule type="uniqueValues" dxfId="661" priority="7"/>
  </conditionalFormatting>
  <conditionalFormatting sqref="AH25:AI26">
    <cfRule type="uniqueValues" dxfId="660" priority="6"/>
  </conditionalFormatting>
  <conditionalFormatting sqref="AH27:AI27">
    <cfRule type="uniqueValues" dxfId="659" priority="5"/>
  </conditionalFormatting>
  <conditionalFormatting sqref="AH28:AI28">
    <cfRule type="uniqueValues" dxfId="658" priority="4"/>
  </conditionalFormatting>
  <conditionalFormatting sqref="AH29:AI29">
    <cfRule type="uniqueValues" dxfId="657" priority="3"/>
  </conditionalFormatting>
  <conditionalFormatting sqref="AH30:AI30">
    <cfRule type="uniqueValues" dxfId="656" priority="2"/>
  </conditionalFormatting>
  <conditionalFormatting sqref="AH31:AI31">
    <cfRule type="uniqueValues" dxfId="655" priority="1"/>
  </conditionalFormatting>
  <conditionalFormatting sqref="AN5:AO5">
    <cfRule type="uniqueValues" dxfId="654" priority="249"/>
  </conditionalFormatting>
  <conditionalFormatting sqref="AN6:AO6">
    <cfRule type="uniqueValues" dxfId="653" priority="248"/>
  </conditionalFormatting>
  <conditionalFormatting sqref="AN8:AO8">
    <cfRule type="uniqueValues" dxfId="652" priority="246"/>
  </conditionalFormatting>
  <conditionalFormatting sqref="AN9:AO9">
    <cfRule type="uniqueValues" dxfId="651" priority="245"/>
  </conditionalFormatting>
  <conditionalFormatting sqref="AN10:AO10">
    <cfRule type="uniqueValues" dxfId="650" priority="244"/>
  </conditionalFormatting>
  <conditionalFormatting sqref="AN11:AO11">
    <cfRule type="uniqueValues" dxfId="649" priority="243"/>
  </conditionalFormatting>
  <conditionalFormatting sqref="AN14:AO14">
    <cfRule type="uniqueValues" dxfId="648" priority="242"/>
  </conditionalFormatting>
  <conditionalFormatting sqref="AN15:AO15">
    <cfRule type="uniqueValues" dxfId="647" priority="241"/>
  </conditionalFormatting>
  <conditionalFormatting sqref="AN16:AO16">
    <cfRule type="uniqueValues" dxfId="646" priority="240"/>
  </conditionalFormatting>
  <conditionalFormatting sqref="AN17:AO17">
    <cfRule type="uniqueValues" dxfId="645" priority="239"/>
  </conditionalFormatting>
  <conditionalFormatting sqref="AN18:AO18 AN7:AO7 AN21:AO21 AN24:AO24 AN35:AO35 AN42:AO42 AN45:AO45 AN48:AO48 AN52:AO52">
    <cfRule type="uniqueValues" dxfId="644" priority="247"/>
  </conditionalFormatting>
  <conditionalFormatting sqref="AN19:AO19">
    <cfRule type="uniqueValues" dxfId="643" priority="238"/>
  </conditionalFormatting>
  <conditionalFormatting sqref="AN20:AO20">
    <cfRule type="uniqueValues" dxfId="642" priority="237"/>
  </conditionalFormatting>
  <conditionalFormatting sqref="AN25:AO25">
    <cfRule type="uniqueValues" dxfId="641" priority="234"/>
  </conditionalFormatting>
  <conditionalFormatting sqref="AN26:AO26">
    <cfRule type="uniqueValues" dxfId="640" priority="233"/>
  </conditionalFormatting>
  <conditionalFormatting sqref="AN27:AO27">
    <cfRule type="uniqueValues" dxfId="639" priority="232"/>
  </conditionalFormatting>
  <conditionalFormatting sqref="AN28:AO28">
    <cfRule type="uniqueValues" dxfId="638" priority="231"/>
  </conditionalFormatting>
  <conditionalFormatting sqref="AN29:AO29">
    <cfRule type="uniqueValues" dxfId="637" priority="230"/>
  </conditionalFormatting>
  <conditionalFormatting sqref="AN30:AO30">
    <cfRule type="uniqueValues" dxfId="636" priority="229"/>
  </conditionalFormatting>
  <conditionalFormatting sqref="AN31:AO31">
    <cfRule type="uniqueValues" dxfId="635" priority="228"/>
  </conditionalFormatting>
  <conditionalFormatting sqref="AN32:AO32">
    <cfRule type="uniqueValues" dxfId="634" priority="227"/>
  </conditionalFormatting>
  <conditionalFormatting sqref="AN33:AO33">
    <cfRule type="uniqueValues" dxfId="633" priority="226"/>
  </conditionalFormatting>
  <conditionalFormatting sqref="AN34:AO34">
    <cfRule type="uniqueValues" dxfId="632" priority="225"/>
  </conditionalFormatting>
  <conditionalFormatting sqref="AN36:AO36">
    <cfRule type="uniqueValues" dxfId="631" priority="224"/>
  </conditionalFormatting>
  <conditionalFormatting sqref="AN37:AO37">
    <cfRule type="uniqueValues" dxfId="630" priority="223"/>
  </conditionalFormatting>
  <conditionalFormatting sqref="AN38:AO38">
    <cfRule type="uniqueValues" dxfId="629" priority="222"/>
  </conditionalFormatting>
  <conditionalFormatting sqref="AN39:AO39">
    <cfRule type="uniqueValues" dxfId="628" priority="221"/>
  </conditionalFormatting>
  <conditionalFormatting sqref="AN40:AO40">
    <cfRule type="uniqueValues" dxfId="627" priority="220"/>
  </conditionalFormatting>
  <conditionalFormatting sqref="AN41:AO41">
    <cfRule type="uniqueValues" dxfId="626" priority="219"/>
  </conditionalFormatting>
  <conditionalFormatting sqref="AN43:AO43">
    <cfRule type="uniqueValues" dxfId="625" priority="218"/>
  </conditionalFormatting>
  <conditionalFormatting sqref="AN44:AO44">
    <cfRule type="uniqueValues" dxfId="624" priority="217"/>
  </conditionalFormatting>
  <conditionalFormatting sqref="AN46:AO46">
    <cfRule type="uniqueValues" dxfId="623" priority="216"/>
  </conditionalFormatting>
  <conditionalFormatting sqref="AN47:AO47">
    <cfRule type="uniqueValues" dxfId="622" priority="215"/>
  </conditionalFormatting>
  <conditionalFormatting sqref="AN49:AO49">
    <cfRule type="uniqueValues" dxfId="621" priority="214"/>
  </conditionalFormatting>
  <conditionalFormatting sqref="AN50:AO50">
    <cfRule type="uniqueValues" dxfId="620" priority="213"/>
  </conditionalFormatting>
  <conditionalFormatting sqref="AN51:AO51">
    <cfRule type="uniqueValues" dxfId="619" priority="212"/>
  </conditionalFormatting>
  <conditionalFormatting sqref="BA4:BB4">
    <cfRule type="uniqueValues" dxfId="618" priority="203"/>
  </conditionalFormatting>
  <conditionalFormatting sqref="BA5:BB5">
    <cfRule type="uniqueValues" dxfId="617" priority="201"/>
  </conditionalFormatting>
  <conditionalFormatting sqref="BA6:BB6">
    <cfRule type="uniqueValues" dxfId="616" priority="200"/>
  </conditionalFormatting>
  <conditionalFormatting sqref="BA7:BB7">
    <cfRule type="uniqueValues" dxfId="615" priority="199"/>
  </conditionalFormatting>
  <conditionalFormatting sqref="BA8:BB8">
    <cfRule type="uniqueValues" dxfId="614" priority="198"/>
  </conditionalFormatting>
  <conditionalFormatting sqref="BA9:BB9">
    <cfRule type="uniqueValues" dxfId="613" priority="197"/>
  </conditionalFormatting>
  <conditionalFormatting sqref="BA10:BB10">
    <cfRule type="uniqueValues" dxfId="612" priority="196"/>
  </conditionalFormatting>
  <conditionalFormatting sqref="BA11:BB11">
    <cfRule type="uniqueValues" dxfId="611" priority="195"/>
  </conditionalFormatting>
  <conditionalFormatting sqref="BA17:BB17">
    <cfRule type="uniqueValues" dxfId="610" priority="202"/>
  </conditionalFormatting>
  <conditionalFormatting sqref="BA18:BB18">
    <cfRule type="uniqueValues" dxfId="609" priority="194"/>
  </conditionalFormatting>
  <conditionalFormatting sqref="BA19:BB19">
    <cfRule type="uniqueValues" dxfId="608" priority="193"/>
  </conditionalFormatting>
  <conditionalFormatting sqref="BA20:BB20">
    <cfRule type="uniqueValues" dxfId="607" priority="192"/>
  </conditionalFormatting>
  <conditionalFormatting sqref="BA21:BB21">
    <cfRule type="uniqueValues" dxfId="606" priority="191"/>
  </conditionalFormatting>
  <conditionalFormatting sqref="BA22:BB22">
    <cfRule type="uniqueValues" dxfId="605" priority="190"/>
  </conditionalFormatting>
  <conditionalFormatting sqref="BA23:BB23">
    <cfRule type="uniqueValues" dxfId="604" priority="189"/>
  </conditionalFormatting>
  <conditionalFormatting sqref="BA24:BB24">
    <cfRule type="uniqueValues" dxfId="603" priority="188"/>
  </conditionalFormatting>
  <conditionalFormatting sqref="BA30:BB30">
    <cfRule type="uniqueValues" dxfId="602" priority="187"/>
  </conditionalFormatting>
  <conditionalFormatting sqref="BA31:BB31">
    <cfRule type="uniqueValues" dxfId="601" priority="186"/>
  </conditionalFormatting>
  <conditionalFormatting sqref="BA32:BB32">
    <cfRule type="uniqueValues" dxfId="600" priority="185"/>
  </conditionalFormatting>
  <conditionalFormatting sqref="BA33:BB33">
    <cfRule type="uniqueValues" dxfId="599" priority="184"/>
  </conditionalFormatting>
  <conditionalFormatting sqref="BA34:BB34">
    <cfRule type="uniqueValues" dxfId="598" priority="183"/>
  </conditionalFormatting>
  <conditionalFormatting sqref="BA35:BB35">
    <cfRule type="uniqueValues" dxfId="597" priority="182"/>
  </conditionalFormatting>
  <conditionalFormatting sqref="BA36:BB36">
    <cfRule type="uniqueValues" dxfId="596" priority="181"/>
  </conditionalFormatting>
  <conditionalFormatting sqref="BA37:BB37">
    <cfRule type="uniqueValues" dxfId="595" priority="180"/>
  </conditionalFormatting>
  <conditionalFormatting sqref="BA43:BB43">
    <cfRule type="uniqueValues" dxfId="594" priority="179"/>
  </conditionalFormatting>
  <conditionalFormatting sqref="BA44:BB44">
    <cfRule type="uniqueValues" dxfId="593" priority="178"/>
  </conditionalFormatting>
  <conditionalFormatting sqref="BA45:BB45">
    <cfRule type="uniqueValues" dxfId="592" priority="177"/>
  </conditionalFormatting>
  <conditionalFormatting sqref="BA46:BB46">
    <cfRule type="uniqueValues" dxfId="591" priority="176"/>
  </conditionalFormatting>
  <conditionalFormatting sqref="BA47:BB47">
    <cfRule type="uniqueValues" dxfId="590" priority="175"/>
  </conditionalFormatting>
  <conditionalFormatting sqref="BA48:BB48">
    <cfRule type="uniqueValues" dxfId="589" priority="174"/>
  </conditionalFormatting>
  <conditionalFormatting sqref="BA49:BB49">
    <cfRule type="uniqueValues" dxfId="588" priority="173"/>
  </conditionalFormatting>
  <conditionalFormatting sqref="BA55:BB55">
    <cfRule type="uniqueValues" dxfId="587" priority="171"/>
  </conditionalFormatting>
  <conditionalFormatting sqref="BA56:BB56">
    <cfRule type="uniqueValues" dxfId="586" priority="170"/>
  </conditionalFormatting>
  <conditionalFormatting sqref="BA57:BB58">
    <cfRule type="uniqueValues" dxfId="585" priority="169"/>
  </conditionalFormatting>
  <conditionalFormatting sqref="BA59:BB59">
    <cfRule type="uniqueValues" dxfId="584" priority="168"/>
  </conditionalFormatting>
  <conditionalFormatting sqref="BA60:BB60">
    <cfRule type="uniqueValues" dxfId="583" priority="167"/>
  </conditionalFormatting>
  <conditionalFormatting sqref="BA61:BB61">
    <cfRule type="uniqueValues" dxfId="582" priority="166"/>
  </conditionalFormatting>
  <conditionalFormatting sqref="BA62:BB62">
    <cfRule type="uniqueValues" dxfId="581" priority="165"/>
  </conditionalFormatting>
  <conditionalFormatting sqref="BA63:BB63">
    <cfRule type="uniqueValues" dxfId="580" priority="164"/>
  </conditionalFormatting>
  <conditionalFormatting sqref="BA69:BB69">
    <cfRule type="uniqueValues" dxfId="579" priority="163"/>
  </conditionalFormatting>
  <conditionalFormatting sqref="BA70:BB70">
    <cfRule type="uniqueValues" dxfId="578" priority="162"/>
  </conditionalFormatting>
  <conditionalFormatting sqref="BA71:BB72">
    <cfRule type="uniqueValues" dxfId="577" priority="161"/>
  </conditionalFormatting>
  <conditionalFormatting sqref="BA73:BB73">
    <cfRule type="uniqueValues" dxfId="576" priority="160"/>
  </conditionalFormatting>
  <conditionalFormatting sqref="BA74:BB74">
    <cfRule type="uniqueValues" dxfId="575" priority="159"/>
  </conditionalFormatting>
  <conditionalFormatting sqref="BA75:BB75">
    <cfRule type="uniqueValues" dxfId="574" priority="158"/>
  </conditionalFormatting>
  <conditionalFormatting sqref="BA76:BB76">
    <cfRule type="uniqueValues" dxfId="573" priority="157"/>
  </conditionalFormatting>
  <conditionalFormatting sqref="BA77:BB77">
    <cfRule type="uniqueValues" dxfId="572" priority="156"/>
  </conditionalFormatting>
  <conditionalFormatting sqref="BA83:BB83">
    <cfRule type="uniqueValues" dxfId="571" priority="147"/>
  </conditionalFormatting>
  <conditionalFormatting sqref="BA84:BB84">
    <cfRule type="uniqueValues" dxfId="570" priority="146"/>
  </conditionalFormatting>
  <conditionalFormatting sqref="BA85:BB86">
    <cfRule type="uniqueValues" dxfId="569" priority="145"/>
  </conditionalFormatting>
  <conditionalFormatting sqref="BA87:BB87">
    <cfRule type="uniqueValues" dxfId="568" priority="144"/>
  </conditionalFormatting>
  <conditionalFormatting sqref="BA88:BB88">
    <cfRule type="uniqueValues" dxfId="567" priority="143"/>
  </conditionalFormatting>
  <conditionalFormatting sqref="BA89:BB89">
    <cfRule type="uniqueValues" dxfId="566" priority="142"/>
  </conditionalFormatting>
  <conditionalFormatting sqref="BA90:BB90">
    <cfRule type="uniqueValues" dxfId="565" priority="141"/>
  </conditionalFormatting>
  <conditionalFormatting sqref="BA91:BB91">
    <cfRule type="uniqueValues" dxfId="564" priority="140"/>
  </conditionalFormatting>
  <conditionalFormatting sqref="BA97:BB97">
    <cfRule type="uniqueValues" dxfId="563" priority="139"/>
  </conditionalFormatting>
  <conditionalFormatting sqref="BA98:BB98">
    <cfRule type="uniqueValues" dxfId="562" priority="138"/>
  </conditionalFormatting>
  <conditionalFormatting sqref="BA99:BB100">
    <cfRule type="uniqueValues" dxfId="561" priority="137"/>
  </conditionalFormatting>
  <conditionalFormatting sqref="BA101:BB101">
    <cfRule type="uniqueValues" dxfId="560" priority="136"/>
  </conditionalFormatting>
  <conditionalFormatting sqref="BA102:BB102">
    <cfRule type="uniqueValues" dxfId="559" priority="135"/>
  </conditionalFormatting>
  <conditionalFormatting sqref="BA103:BB103">
    <cfRule type="uniqueValues" dxfId="558" priority="134"/>
  </conditionalFormatting>
  <conditionalFormatting sqref="BA104:BB104">
    <cfRule type="uniqueValues" dxfId="557" priority="133"/>
  </conditionalFormatting>
  <conditionalFormatting sqref="BA105:BB105">
    <cfRule type="uniqueValues" dxfId="556" priority="132"/>
  </conditionalFormatting>
  <conditionalFormatting sqref="BA111:BB111">
    <cfRule type="uniqueValues" dxfId="555" priority="131"/>
  </conditionalFormatting>
  <conditionalFormatting sqref="BA112:BB112">
    <cfRule type="uniqueValues" dxfId="554" priority="130"/>
  </conditionalFormatting>
  <conditionalFormatting sqref="BA113:BB114">
    <cfRule type="uniqueValues" dxfId="553" priority="129"/>
  </conditionalFormatting>
  <conditionalFormatting sqref="BA115:BB115">
    <cfRule type="uniqueValues" dxfId="552" priority="128"/>
  </conditionalFormatting>
  <conditionalFormatting sqref="BA116:BB116">
    <cfRule type="uniqueValues" dxfId="551" priority="127"/>
  </conditionalFormatting>
  <conditionalFormatting sqref="BA117:BB117">
    <cfRule type="uniqueValues" dxfId="550" priority="126"/>
  </conditionalFormatting>
  <conditionalFormatting sqref="BA118:BB118">
    <cfRule type="uniqueValues" dxfId="549" priority="125"/>
  </conditionalFormatting>
  <conditionalFormatting sqref="BA119:BB119">
    <cfRule type="uniqueValues" dxfId="548" priority="124"/>
  </conditionalFormatting>
  <conditionalFormatting sqref="BA125:BB125">
    <cfRule type="uniqueValues" dxfId="547" priority="123"/>
  </conditionalFormatting>
  <conditionalFormatting sqref="BA126:BB126">
    <cfRule type="uniqueValues" dxfId="546" priority="250"/>
  </conditionalFormatting>
  <conditionalFormatting sqref="BA127:BB127">
    <cfRule type="uniqueValues" dxfId="545" priority="118"/>
  </conditionalFormatting>
  <conditionalFormatting sqref="BA128:BB128">
    <cfRule type="uniqueValues" dxfId="544" priority="117"/>
  </conditionalFormatting>
  <conditionalFormatting sqref="BA129:BB129">
    <cfRule type="uniqueValues" dxfId="543" priority="116"/>
  </conditionalFormatting>
  <conditionalFormatting sqref="BK4:BL4">
    <cfRule type="uniqueValues" dxfId="542" priority="115"/>
  </conditionalFormatting>
  <conditionalFormatting sqref="BK5:BL5">
    <cfRule type="uniqueValues" dxfId="541" priority="114"/>
  </conditionalFormatting>
  <conditionalFormatting sqref="BK6:BL6">
    <cfRule type="uniqueValues" dxfId="540" priority="107"/>
  </conditionalFormatting>
  <conditionalFormatting sqref="BK7:BL7">
    <cfRule type="uniqueValues" dxfId="539" priority="106"/>
  </conditionalFormatting>
  <conditionalFormatting sqref="BK8:BL8">
    <cfRule type="uniqueValues" dxfId="538" priority="105"/>
  </conditionalFormatting>
  <conditionalFormatting sqref="BK9:BL9">
    <cfRule type="uniqueValues" dxfId="537" priority="103"/>
  </conditionalFormatting>
  <conditionalFormatting sqref="BK10:BL10">
    <cfRule type="uniqueValues" dxfId="536" priority="102"/>
  </conditionalFormatting>
  <conditionalFormatting sqref="BK11:BL11">
    <cfRule type="uniqueValues" dxfId="535" priority="101"/>
  </conditionalFormatting>
  <conditionalFormatting sqref="BK12:BL12">
    <cfRule type="uniqueValues" dxfId="534" priority="100"/>
  </conditionalFormatting>
  <conditionalFormatting sqref="BK18:BL18">
    <cfRule type="uniqueValues" dxfId="533" priority="99"/>
  </conditionalFormatting>
  <conditionalFormatting sqref="BK19:BL19">
    <cfRule type="uniqueValues" dxfId="532" priority="98"/>
  </conditionalFormatting>
  <conditionalFormatting sqref="BK20:BL20">
    <cfRule type="uniqueValues" dxfId="531" priority="97"/>
  </conditionalFormatting>
  <conditionalFormatting sqref="BK21:BL21">
    <cfRule type="uniqueValues" dxfId="530" priority="96"/>
  </conditionalFormatting>
  <conditionalFormatting sqref="BK22:BL22">
    <cfRule type="uniqueValues" dxfId="529" priority="95"/>
  </conditionalFormatting>
  <conditionalFormatting sqref="BK23:BL23">
    <cfRule type="uniqueValues" dxfId="528" priority="94"/>
  </conditionalFormatting>
  <conditionalFormatting sqref="BK24:BL24">
    <cfRule type="uniqueValues" dxfId="527" priority="93"/>
  </conditionalFormatting>
  <conditionalFormatting sqref="BK25:BL25">
    <cfRule type="uniqueValues" dxfId="526" priority="92"/>
  </conditionalFormatting>
  <conditionalFormatting sqref="BK26:BL26">
    <cfRule type="uniqueValues" dxfId="525" priority="91"/>
  </conditionalFormatting>
  <conditionalFormatting sqref="BK32:BL32">
    <cfRule type="uniqueValues" dxfId="524" priority="90"/>
  </conditionalFormatting>
  <conditionalFormatting sqref="BK33:BL33">
    <cfRule type="uniqueValues" dxfId="523" priority="89"/>
  </conditionalFormatting>
  <conditionalFormatting sqref="BK34:BL34">
    <cfRule type="uniqueValues" dxfId="522" priority="88"/>
  </conditionalFormatting>
  <conditionalFormatting sqref="BK35:BL35">
    <cfRule type="uniqueValues" dxfId="521" priority="87"/>
  </conditionalFormatting>
  <conditionalFormatting sqref="BK36:BL36">
    <cfRule type="uniqueValues" dxfId="520" priority="86"/>
  </conditionalFormatting>
  <conditionalFormatting sqref="BK37:BL37">
    <cfRule type="uniqueValues" dxfId="519" priority="85"/>
  </conditionalFormatting>
  <conditionalFormatting sqref="BK38:BL38">
    <cfRule type="uniqueValues" dxfId="518" priority="84"/>
  </conditionalFormatting>
  <conditionalFormatting sqref="BK39:BL39">
    <cfRule type="uniqueValues" dxfId="517" priority="83"/>
  </conditionalFormatting>
  <conditionalFormatting sqref="BK40:BL40">
    <cfRule type="uniqueValues" dxfId="516" priority="82"/>
  </conditionalFormatting>
  <conditionalFormatting sqref="BK46:BL46">
    <cfRule type="uniqueValues" dxfId="515" priority="81"/>
  </conditionalFormatting>
  <conditionalFormatting sqref="BK47:BL47">
    <cfRule type="uniqueValues" dxfId="514" priority="80"/>
  </conditionalFormatting>
  <conditionalFormatting sqref="BK48:BL48">
    <cfRule type="uniqueValues" dxfId="513" priority="79"/>
  </conditionalFormatting>
  <conditionalFormatting sqref="BK49:BL49">
    <cfRule type="uniqueValues" dxfId="512" priority="78"/>
  </conditionalFormatting>
  <conditionalFormatting sqref="BK50:BL50">
    <cfRule type="uniqueValues" dxfId="511" priority="77"/>
  </conditionalFormatting>
  <conditionalFormatting sqref="BK51:BL51">
    <cfRule type="uniqueValues" dxfId="510" priority="76"/>
  </conditionalFormatting>
  <conditionalFormatting sqref="BK52:BL52">
    <cfRule type="uniqueValues" dxfId="509" priority="75"/>
  </conditionalFormatting>
  <conditionalFormatting sqref="BK53:BL53">
    <cfRule type="uniqueValues" dxfId="508" priority="74"/>
  </conditionalFormatting>
  <conditionalFormatting sqref="BK54:BL54">
    <cfRule type="uniqueValues" dxfId="507" priority="73"/>
  </conditionalFormatting>
  <conditionalFormatting sqref="BK60:BL60">
    <cfRule type="uniqueValues" dxfId="506" priority="72"/>
  </conditionalFormatting>
  <conditionalFormatting sqref="BK61:BL61">
    <cfRule type="uniqueValues" dxfId="505" priority="71"/>
  </conditionalFormatting>
  <conditionalFormatting sqref="BK62:BL62">
    <cfRule type="uniqueValues" dxfId="504" priority="70"/>
  </conditionalFormatting>
  <conditionalFormatting sqref="BK63:BL63">
    <cfRule type="uniqueValues" dxfId="503" priority="69"/>
  </conditionalFormatting>
  <conditionalFormatting sqref="BK64:BL64">
    <cfRule type="uniqueValues" dxfId="502" priority="68"/>
  </conditionalFormatting>
  <conditionalFormatting sqref="BK65:BL65">
    <cfRule type="uniqueValues" dxfId="501" priority="67"/>
  </conditionalFormatting>
  <conditionalFormatting sqref="BK66:BL66">
    <cfRule type="uniqueValues" dxfId="500" priority="66"/>
  </conditionalFormatting>
  <conditionalFormatting sqref="BK67:BL67">
    <cfRule type="uniqueValues" dxfId="499" priority="65"/>
  </conditionalFormatting>
  <conditionalFormatting sqref="BK68:BL68">
    <cfRule type="uniqueValues" dxfId="498" priority="64"/>
  </conditionalFormatting>
  <conditionalFormatting sqref="BK74:BL74">
    <cfRule type="uniqueValues" dxfId="497" priority="63"/>
  </conditionalFormatting>
  <conditionalFormatting sqref="BK75:BL75">
    <cfRule type="uniqueValues" dxfId="496" priority="58"/>
  </conditionalFormatting>
  <conditionalFormatting sqref="BK76:BL76">
    <cfRule type="uniqueValues" dxfId="495" priority="57"/>
  </conditionalFormatting>
  <conditionalFormatting sqref="BK77:BL77">
    <cfRule type="uniqueValues" dxfId="494" priority="56"/>
  </conditionalFormatting>
  <conditionalFormatting sqref="BK78:BL78">
    <cfRule type="uniqueValues" dxfId="493" priority="55"/>
  </conditionalFormatting>
  <conditionalFormatting sqref="BK84:BL84">
    <cfRule type="uniqueValues" dxfId="492" priority="54"/>
  </conditionalFormatting>
  <conditionalFormatting sqref="BK85:BL85">
    <cfRule type="uniqueValues" dxfId="491" priority="53"/>
  </conditionalFormatting>
  <conditionalFormatting sqref="BK86:BL86">
    <cfRule type="uniqueValues" dxfId="490" priority="52"/>
  </conditionalFormatting>
  <conditionalFormatting sqref="BK87:BL87">
    <cfRule type="uniqueValues" dxfId="489" priority="51"/>
  </conditionalFormatting>
  <conditionalFormatting sqref="BK88:BL88">
    <cfRule type="uniqueValues" dxfId="488" priority="50"/>
  </conditionalFormatting>
  <conditionalFormatting sqref="BK89:BL89">
    <cfRule type="uniqueValues" dxfId="487" priority="49"/>
  </conditionalFormatting>
  <conditionalFormatting sqref="BK90:BL90">
    <cfRule type="uniqueValues" dxfId="486" priority="48"/>
  </conditionalFormatting>
  <conditionalFormatting sqref="BK91:BL91">
    <cfRule type="uniqueValues" dxfId="485" priority="47"/>
  </conditionalFormatting>
  <conditionalFormatting sqref="BK92:BL92">
    <cfRule type="uniqueValues" dxfId="484" priority="46"/>
  </conditionalFormatting>
  <conditionalFormatting sqref="BK98:BL98">
    <cfRule type="uniqueValues" dxfId="483" priority="45"/>
  </conditionalFormatting>
  <conditionalFormatting sqref="BK99:BL99">
    <cfRule type="uniqueValues" dxfId="482" priority="44"/>
  </conditionalFormatting>
  <conditionalFormatting sqref="BK100:BL100">
    <cfRule type="uniqueValues" dxfId="481" priority="43"/>
  </conditionalFormatting>
  <conditionalFormatting sqref="BK101:BL101">
    <cfRule type="uniqueValues" dxfId="480" priority="42"/>
  </conditionalFormatting>
  <conditionalFormatting sqref="BK102:BL102">
    <cfRule type="uniqueValues" dxfId="479" priority="41"/>
  </conditionalFormatting>
  <conditionalFormatting sqref="BK103:BL103">
    <cfRule type="uniqueValues" dxfId="478" priority="40"/>
  </conditionalFormatting>
  <conditionalFormatting sqref="BK104:BL104">
    <cfRule type="uniqueValues" dxfId="477" priority="39"/>
  </conditionalFormatting>
  <conditionalFormatting sqref="BK105:BL105">
    <cfRule type="uniqueValues" dxfId="476" priority="38"/>
  </conditionalFormatting>
  <conditionalFormatting sqref="BK106:BL106">
    <cfRule type="uniqueValues" dxfId="475" priority="37"/>
  </conditionalFormatting>
  <conditionalFormatting sqref="BK112:BL112">
    <cfRule type="uniqueValues" dxfId="474" priority="36"/>
  </conditionalFormatting>
  <conditionalFormatting sqref="BK113:BL113">
    <cfRule type="uniqueValues" dxfId="473" priority="35"/>
  </conditionalFormatting>
  <conditionalFormatting sqref="BK114:BL114">
    <cfRule type="uniqueValues" dxfId="472" priority="34"/>
  </conditionalFormatting>
  <conditionalFormatting sqref="BK115:BL115">
    <cfRule type="uniqueValues" dxfId="471" priority="33"/>
  </conditionalFormatting>
  <conditionalFormatting sqref="BK116:BL116">
    <cfRule type="uniqueValues" dxfId="470" priority="32"/>
  </conditionalFormatting>
  <conditionalFormatting sqref="BK117:BL117">
    <cfRule type="uniqueValues" dxfId="469" priority="31"/>
  </conditionalFormatting>
  <conditionalFormatting sqref="BK118:BL118">
    <cfRule type="uniqueValues" dxfId="468" priority="30"/>
  </conditionalFormatting>
  <conditionalFormatting sqref="BK119:BL119">
    <cfRule type="uniqueValues" dxfId="467" priority="29"/>
  </conditionalFormatting>
  <conditionalFormatting sqref="BK120:BL120">
    <cfRule type="uniqueValues" dxfId="466" priority="28"/>
  </conditionalFormatting>
  <conditionalFormatting sqref="BK126:BL126">
    <cfRule type="uniqueValues" dxfId="465" priority="27"/>
  </conditionalFormatting>
  <conditionalFormatting sqref="BK127:BL127">
    <cfRule type="uniqueValues" dxfId="464" priority="18"/>
  </conditionalFormatting>
  <conditionalFormatting sqref="BK128:BL128">
    <cfRule type="uniqueValues" dxfId="463" priority="21"/>
  </conditionalFormatting>
  <conditionalFormatting sqref="BK129:BL129">
    <cfRule type="uniqueValues" dxfId="462" priority="20"/>
  </conditionalFormatting>
  <conditionalFormatting sqref="BK130:BL130">
    <cfRule type="uniqueValues" dxfId="461" priority="19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5943-4EC1-496B-96FB-D631A80A8746}">
  <dimension ref="A1:CD115"/>
  <sheetViews>
    <sheetView tabSelected="1" topLeftCell="AM56" zoomScale="55" zoomScaleNormal="55" workbookViewId="0">
      <selection activeCell="AM46" sqref="AM46"/>
    </sheetView>
  </sheetViews>
  <sheetFormatPr defaultColWidth="9.09765625" defaultRowHeight="14.25" customHeight="1" x14ac:dyDescent="0.3"/>
  <cols>
    <col min="1" max="1" width="9.09765625" style="27"/>
    <col min="2" max="2" width="5.09765625" style="27" customWidth="1"/>
    <col min="3" max="4" width="4.3984375" style="27" customWidth="1"/>
    <col min="5" max="18" width="3.69921875" style="27" customWidth="1"/>
    <col min="19" max="32" width="9.09765625" style="27" bestFit="1" customWidth="1"/>
    <col min="33" max="33" width="9.296875" style="27" customWidth="1"/>
    <col min="34" max="34" width="9.8984375" style="27" customWidth="1"/>
    <col min="35" max="37" width="8.69921875" style="27" customWidth="1"/>
    <col min="38" max="38" width="11.69921875" style="27" customWidth="1"/>
    <col min="39" max="39" width="53.59765625" style="27" customWidth="1"/>
    <col min="40" max="40" width="10.69921875" style="27" customWidth="1"/>
    <col min="41" max="41" width="10" style="27" customWidth="1"/>
    <col min="42" max="42" width="10.296875" style="27" customWidth="1"/>
    <col min="43" max="43" width="12.296875" style="27" customWidth="1"/>
    <col min="44" max="44" width="11.69921875" style="27" customWidth="1"/>
    <col min="45" max="45" width="39.296875" style="27" customWidth="1"/>
    <col min="46" max="46" width="9.3984375" style="27" customWidth="1"/>
    <col min="47" max="47" width="11.69921875" style="27" customWidth="1"/>
    <col min="48" max="48" width="45.3984375" style="27" customWidth="1"/>
    <col min="49" max="49" width="10.3984375" style="27" customWidth="1"/>
    <col min="50" max="50" width="9.8984375" style="27" customWidth="1"/>
    <col min="51" max="52" width="8.69921875" style="27" customWidth="1"/>
    <col min="53" max="53" width="11.69921875" style="27" customWidth="1"/>
    <col min="54" max="54" width="47.09765625" style="27" customWidth="1"/>
    <col min="55" max="57" width="9.8984375" style="27" customWidth="1"/>
    <col min="58" max="58" width="8.69921875" style="27" customWidth="1"/>
    <col min="59" max="59" width="11.69921875" style="27" customWidth="1"/>
    <col min="60" max="60" width="22.296875" style="27" customWidth="1"/>
    <col min="61" max="61" width="9.09765625" style="27" customWidth="1"/>
    <col min="62" max="62" width="13" style="27" customWidth="1"/>
    <col min="63" max="63" width="54" style="27" customWidth="1"/>
    <col min="64" max="64" width="10" style="27" customWidth="1"/>
    <col min="65" max="65" width="9.3984375" style="27" customWidth="1"/>
    <col min="66" max="66" width="8.3984375" style="27" customWidth="1"/>
    <col min="67" max="67" width="14.69921875" style="27" customWidth="1"/>
    <col min="68" max="68" width="14.3984375" style="27" customWidth="1"/>
    <col min="69" max="69" width="13" style="27" customWidth="1"/>
    <col min="70" max="70" width="54" style="27" customWidth="1"/>
    <col min="71" max="71" width="10" style="27" customWidth="1"/>
    <col min="72" max="72" width="9.3984375" style="27" customWidth="1"/>
    <col min="73" max="73" width="8.3984375" style="27" customWidth="1"/>
    <col min="74" max="74" width="24.59765625" style="27" customWidth="1"/>
    <col min="75" max="75" width="11.296875" style="27" customWidth="1"/>
    <col min="76" max="76" width="47.8984375" style="27" customWidth="1"/>
    <col min="77" max="78" width="10.09765625" style="27" customWidth="1"/>
    <col min="79" max="79" width="36.8984375" style="27" bestFit="1" customWidth="1"/>
    <col min="80" max="80" width="19.3984375" style="27" customWidth="1"/>
    <col min="81" max="81" width="15.59765625" style="27" customWidth="1"/>
    <col min="82" max="82" width="36.09765625" style="27" customWidth="1"/>
    <col min="83" max="83" width="12.8984375" style="27" customWidth="1"/>
    <col min="84" max="90" width="2.69921875" style="27" customWidth="1"/>
    <col min="91" max="16384" width="9.09765625" style="27"/>
  </cols>
  <sheetData>
    <row r="1" spans="1:82" ht="17" x14ac:dyDescent="0.4">
      <c r="A1" s="52" t="s">
        <v>68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5" t="s">
        <v>69</v>
      </c>
      <c r="M1" s="25" t="s">
        <v>70</v>
      </c>
      <c r="N1" s="25" t="s">
        <v>71</v>
      </c>
      <c r="O1" s="25" t="s">
        <v>72</v>
      </c>
      <c r="P1" s="25" t="s">
        <v>73</v>
      </c>
      <c r="Q1" s="25" t="s">
        <v>74</v>
      </c>
      <c r="R1" s="53"/>
      <c r="S1" s="24">
        <v>0</v>
      </c>
      <c r="T1" s="24">
        <v>1</v>
      </c>
      <c r="U1" s="24">
        <v>2</v>
      </c>
      <c r="V1" s="24">
        <v>3</v>
      </c>
      <c r="W1" s="24">
        <v>4</v>
      </c>
      <c r="X1" s="24">
        <v>5</v>
      </c>
      <c r="Y1" s="24">
        <v>6</v>
      </c>
      <c r="Z1" s="24">
        <v>7</v>
      </c>
      <c r="AA1" s="24">
        <v>8</v>
      </c>
      <c r="AB1" s="24">
        <v>9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</row>
    <row r="2" spans="1:82" ht="14.5" x14ac:dyDescent="0.3">
      <c r="A2" s="26">
        <v>0</v>
      </c>
      <c r="B2" s="47" t="str">
        <f>MID($A22,5,2)</f>
        <v>00</v>
      </c>
      <c r="C2" s="47" t="str">
        <f>MID($A22,8,2)</f>
        <v>00</v>
      </c>
      <c r="D2" s="47" t="str">
        <f>MID($A22,11,2)</f>
        <v>c3</v>
      </c>
      <c r="E2" s="47" t="str">
        <f>MID($A22,14,2)</f>
        <v>0c</v>
      </c>
      <c r="F2" s="47" t="str">
        <f>MID($A22,17,2)</f>
        <v>03</v>
      </c>
      <c r="G2" s="47" t="str">
        <f>MID($A22,20,2)</f>
        <v>80</v>
      </c>
      <c r="H2" s="47" t="str">
        <f>MID($A22,23,2)</f>
        <v>00</v>
      </c>
      <c r="I2" s="47" t="str">
        <f>MID($A22,26,2)</f>
        <v>03</v>
      </c>
      <c r="J2" s="47" t="str">
        <f>MID($A22,29,2)</f>
        <v>00</v>
      </c>
      <c r="K2" s="47" t="str">
        <f>MID($A22,32,2)</f>
        <v>ff</v>
      </c>
      <c r="L2" s="47" t="str">
        <f>MID($A22,35,2)</f>
        <v>fe</v>
      </c>
      <c r="M2" s="47" t="str">
        <f>MID($A22,38,2)</f>
        <v>00</v>
      </c>
      <c r="N2" s="47" t="str">
        <f>MID($A22,41,2)</f>
        <v>00</v>
      </c>
      <c r="O2" s="47" t="str">
        <f>MID($A22,44,2)</f>
        <v>fc</v>
      </c>
      <c r="P2" s="47" t="str">
        <f>MID($A22,47,2)</f>
        <v>00</v>
      </c>
      <c r="Q2" s="47" t="str">
        <f>MID($A22,50,2)</f>
        <v>00</v>
      </c>
      <c r="R2" s="53"/>
      <c r="S2" s="47" t="str">
        <f>TEXT(HEX2BIN(B2),"00000000")</f>
        <v>00000000</v>
      </c>
      <c r="T2" s="47" t="str">
        <f t="shared" ref="T2:AH17" si="0">TEXT(HEX2BIN(C2),"00000000")</f>
        <v>00000000</v>
      </c>
      <c r="U2" s="47" t="str">
        <f t="shared" si="0"/>
        <v>11000011</v>
      </c>
      <c r="V2" s="47" t="str">
        <f>TEXT(HEX2BIN(E2),"00000000")</f>
        <v>00001100</v>
      </c>
      <c r="W2" s="47" t="str">
        <f t="shared" si="0"/>
        <v>00000011</v>
      </c>
      <c r="X2" s="47" t="str">
        <f t="shared" si="0"/>
        <v>10000000</v>
      </c>
      <c r="Y2" s="47" t="str">
        <f t="shared" si="0"/>
        <v>00000000</v>
      </c>
      <c r="Z2" s="47" t="str">
        <f t="shared" si="0"/>
        <v>00000011</v>
      </c>
      <c r="AA2" s="47" t="str">
        <f t="shared" si="0"/>
        <v>00000000</v>
      </c>
      <c r="AB2" s="47" t="str">
        <f t="shared" si="0"/>
        <v>11111111</v>
      </c>
      <c r="AC2" s="47" t="str">
        <f t="shared" si="0"/>
        <v>11111110</v>
      </c>
      <c r="AD2" s="47" t="str">
        <f t="shared" si="0"/>
        <v>00000000</v>
      </c>
      <c r="AE2" s="47" t="str">
        <f t="shared" si="0"/>
        <v>00000000</v>
      </c>
      <c r="AF2" s="47" t="str">
        <f t="shared" si="0"/>
        <v>11111100</v>
      </c>
      <c r="AG2" s="47" t="str">
        <f t="shared" si="0"/>
        <v>00000000</v>
      </c>
      <c r="AH2" s="47" t="str">
        <f t="shared" si="0"/>
        <v>00000000</v>
      </c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</row>
    <row r="3" spans="1:82" ht="14.5" x14ac:dyDescent="0.3">
      <c r="A3" s="26">
        <v>10</v>
      </c>
      <c r="B3" s="47" t="str">
        <f>MID($A23,5,2)</f>
        <v>ff</v>
      </c>
      <c r="C3" s="47" t="str">
        <f t="shared" ref="C3:C17" si="1">MID($A23,8,2)</f>
        <v>c0</v>
      </c>
      <c r="D3" s="47" t="str">
        <f t="shared" ref="D3:D17" si="2">MID($A23,11,2)</f>
        <v>fe</v>
      </c>
      <c r="E3" s="47" t="str">
        <f t="shared" ref="E3:E17" si="3">MID($A23,14,2)</f>
        <v>c0</v>
      </c>
      <c r="F3" s="47" t="str">
        <f t="shared" ref="F3:F17" si="4">MID($A23,17,2)</f>
        <v>ff</v>
      </c>
      <c r="G3" s="47" t="str">
        <f t="shared" ref="G3:G17" si="5">MID($A23,20,2)</f>
        <v>ff</v>
      </c>
      <c r="H3" s="47" t="str">
        <f t="shared" ref="H3:H17" si="6">MID($A23,23,2)</f>
        <v>00</v>
      </c>
      <c r="I3" s="47" t="str">
        <f t="shared" ref="I3:I17" si="7">MID($A23,26,2)</f>
        <v>00</v>
      </c>
      <c r="J3" s="47" t="str">
        <f t="shared" ref="J3:J17" si="8">MID($A23,29,2)</f>
        <v>00</v>
      </c>
      <c r="K3" s="47" t="str">
        <f t="shared" ref="K3:K17" si="9">MID($A23,32,2)</f>
        <v>00</v>
      </c>
      <c r="L3" s="47" t="str">
        <f t="shared" ref="L3:L17" si="10">MID($A23,35,2)</f>
        <v>00</v>
      </c>
      <c r="M3" s="47" t="str">
        <f t="shared" ref="M3:M17" si="11">MID($A23,38,2)</f>
        <v>60</v>
      </c>
      <c r="N3" s="47" t="str">
        <f t="shared" ref="N3:N17" si="12">MID($A23,41,2)</f>
        <v>60</v>
      </c>
      <c r="O3" s="47" t="str">
        <f t="shared" ref="O3:O17" si="13">MID($A23,44,2)</f>
        <v>a0</v>
      </c>
      <c r="P3" s="47" t="str">
        <f t="shared" ref="P3:P17" si="14">MID($A23,47,2)</f>
        <v>a0</v>
      </c>
      <c r="Q3" s="47" t="str">
        <f t="shared" ref="Q3:Q17" si="15">MID($A23,50,2)</f>
        <v>f0</v>
      </c>
      <c r="R3" s="54"/>
      <c r="S3" s="47" t="str">
        <f t="shared" ref="S3:S17" si="16">TEXT(HEX2BIN(B3),"00000000")</f>
        <v>11111111</v>
      </c>
      <c r="T3" s="47" t="str">
        <f t="shared" si="0"/>
        <v>11000000</v>
      </c>
      <c r="U3" s="47" t="str">
        <f t="shared" si="0"/>
        <v>11111110</v>
      </c>
      <c r="V3" s="47" t="str">
        <f t="shared" si="0"/>
        <v>11000000</v>
      </c>
      <c r="W3" s="47" t="str">
        <f t="shared" si="0"/>
        <v>11111111</v>
      </c>
      <c r="X3" s="47" t="str">
        <f t="shared" si="0"/>
        <v>11111111</v>
      </c>
      <c r="Y3" s="47" t="str">
        <f t="shared" si="0"/>
        <v>00000000</v>
      </c>
      <c r="Z3" s="47" t="str">
        <f t="shared" si="0"/>
        <v>00000000</v>
      </c>
      <c r="AA3" s="47" t="str">
        <f t="shared" si="0"/>
        <v>00000000</v>
      </c>
      <c r="AB3" s="47" t="str">
        <f t="shared" si="0"/>
        <v>00000000</v>
      </c>
      <c r="AC3" s="47" t="str">
        <f t="shared" si="0"/>
        <v>00000000</v>
      </c>
      <c r="AD3" s="47" t="str">
        <f t="shared" si="0"/>
        <v>01100000</v>
      </c>
      <c r="AE3" s="47" t="str">
        <f t="shared" si="0"/>
        <v>01100000</v>
      </c>
      <c r="AF3" s="47" t="str">
        <f t="shared" si="0"/>
        <v>10100000</v>
      </c>
      <c r="AG3" s="47" t="str">
        <f t="shared" si="0"/>
        <v>10100000</v>
      </c>
      <c r="AH3" s="47" t="str">
        <f t="shared" si="0"/>
        <v>11110000</v>
      </c>
      <c r="AI3" s="51"/>
      <c r="AJ3" s="51"/>
      <c r="AK3" s="51"/>
      <c r="AL3" s="66"/>
      <c r="AM3" s="67" t="s">
        <v>75</v>
      </c>
      <c r="AN3" s="4" t="s">
        <v>19</v>
      </c>
      <c r="AO3" s="4" t="s">
        <v>2</v>
      </c>
      <c r="AP3" s="4" t="s">
        <v>866</v>
      </c>
      <c r="AQ3" s="44"/>
      <c r="AR3" s="44"/>
      <c r="AS3" s="44"/>
      <c r="AT3" s="44"/>
      <c r="AU3" s="68"/>
      <c r="AV3" s="67" t="s">
        <v>75</v>
      </c>
      <c r="AW3" s="68"/>
      <c r="AX3" s="68"/>
      <c r="AY3" s="68"/>
      <c r="AZ3" s="44"/>
      <c r="BA3" s="68"/>
      <c r="BB3" s="67" t="s">
        <v>75</v>
      </c>
      <c r="BC3" s="68"/>
      <c r="BD3" s="68"/>
      <c r="BE3" s="68"/>
      <c r="BF3" s="44"/>
      <c r="BG3" s="18" t="s">
        <v>867</v>
      </c>
      <c r="BH3" s="69" t="s">
        <v>868</v>
      </c>
      <c r="BI3" s="44"/>
      <c r="BJ3" s="68"/>
      <c r="BK3" s="67" t="s">
        <v>75</v>
      </c>
      <c r="BL3" s="4" t="s">
        <v>19</v>
      </c>
      <c r="BM3" s="4" t="s">
        <v>2</v>
      </c>
      <c r="BN3" s="18" t="s">
        <v>393</v>
      </c>
      <c r="BO3" s="126"/>
      <c r="BP3" s="44"/>
      <c r="BQ3" s="68"/>
      <c r="BR3" s="67" t="s">
        <v>75</v>
      </c>
      <c r="BS3" s="4" t="s">
        <v>19</v>
      </c>
      <c r="BT3" s="4" t="s">
        <v>2</v>
      </c>
      <c r="BU3" s="18" t="s">
        <v>393</v>
      </c>
      <c r="BV3" s="44"/>
      <c r="BW3" s="68"/>
      <c r="BX3" s="67" t="s">
        <v>75</v>
      </c>
      <c r="BY3" s="4" t="s">
        <v>19</v>
      </c>
      <c r="BZ3" s="4" t="s">
        <v>2</v>
      </c>
      <c r="CA3" s="18" t="s">
        <v>393</v>
      </c>
      <c r="CB3" s="44"/>
      <c r="CC3" s="44"/>
      <c r="CD3" s="44"/>
    </row>
    <row r="4" spans="1:82" ht="14.5" x14ac:dyDescent="0.3">
      <c r="A4" s="26">
        <v>20</v>
      </c>
      <c r="B4" s="47" t="str">
        <f t="shared" ref="B4:B17" si="17">MID($A24,5,2)</f>
        <v>f0</v>
      </c>
      <c r="C4" s="47" t="str">
        <f t="shared" si="1"/>
        <v>f0</v>
      </c>
      <c r="D4" s="47" t="str">
        <f t="shared" si="2"/>
        <v>f0</v>
      </c>
      <c r="E4" s="47" t="str">
        <f t="shared" si="3"/>
        <v>00</v>
      </c>
      <c r="F4" s="47" t="str">
        <f t="shared" si="4"/>
        <v>00</v>
      </c>
      <c r="G4" s="47" t="str">
        <f t="shared" si="5"/>
        <v>e0</v>
      </c>
      <c r="H4" s="47" t="str">
        <f t="shared" si="6"/>
        <v>00</v>
      </c>
      <c r="I4" s="47" t="str">
        <f t="shared" si="7"/>
        <v>00</v>
      </c>
      <c r="J4" s="47" t="str">
        <f t="shared" si="8"/>
        <v>00</v>
      </c>
      <c r="K4" s="47" t="str">
        <f t="shared" si="9"/>
        <v>00</v>
      </c>
      <c r="L4" s="47" t="str">
        <f t="shared" si="10"/>
        <v>00</v>
      </c>
      <c r="M4" s="47" t="str">
        <f t="shared" si="11"/>
        <v>00</v>
      </c>
      <c r="N4" s="47" t="str">
        <f t="shared" si="12"/>
        <v>00</v>
      </c>
      <c r="O4" s="47" t="str">
        <f t="shared" si="13"/>
        <v>03</v>
      </c>
      <c r="P4" s="47" t="str">
        <f t="shared" si="14"/>
        <v>0f</v>
      </c>
      <c r="Q4" s="47" t="str">
        <f t="shared" si="15"/>
        <v>00</v>
      </c>
      <c r="R4" s="53"/>
      <c r="S4" s="47" t="str">
        <f t="shared" si="16"/>
        <v>11110000</v>
      </c>
      <c r="T4" s="47" t="str">
        <f t="shared" si="0"/>
        <v>11110000</v>
      </c>
      <c r="U4" s="47" t="str">
        <f t="shared" si="0"/>
        <v>11110000</v>
      </c>
      <c r="V4" s="47" t="str">
        <f t="shared" si="0"/>
        <v>00000000</v>
      </c>
      <c r="W4" s="47" t="str">
        <f t="shared" si="0"/>
        <v>00000000</v>
      </c>
      <c r="X4" s="47" t="str">
        <f t="shared" si="0"/>
        <v>11100000</v>
      </c>
      <c r="Y4" s="47" t="str">
        <f t="shared" si="0"/>
        <v>00000000</v>
      </c>
      <c r="Z4" s="47" t="str">
        <f t="shared" si="0"/>
        <v>00000000</v>
      </c>
      <c r="AA4" s="47" t="str">
        <f t="shared" si="0"/>
        <v>00000000</v>
      </c>
      <c r="AB4" s="47" t="str">
        <f t="shared" si="0"/>
        <v>00000000</v>
      </c>
      <c r="AC4" s="47" t="str">
        <f t="shared" si="0"/>
        <v>00000000</v>
      </c>
      <c r="AD4" s="47" t="str">
        <f t="shared" si="0"/>
        <v>00000000</v>
      </c>
      <c r="AE4" s="47" t="str">
        <f t="shared" si="0"/>
        <v>00000000</v>
      </c>
      <c r="AF4" s="47" t="str">
        <f t="shared" si="0"/>
        <v>00000011</v>
      </c>
      <c r="AG4" s="47" t="str">
        <f t="shared" si="0"/>
        <v>00001111</v>
      </c>
      <c r="AH4" s="47" t="str">
        <f t="shared" si="0"/>
        <v>00000000</v>
      </c>
      <c r="AI4" s="44"/>
      <c r="AJ4" s="44"/>
      <c r="AK4" s="44"/>
      <c r="AL4" s="66"/>
      <c r="AM4" s="3" t="s">
        <v>869</v>
      </c>
      <c r="AN4" s="70"/>
      <c r="AO4" s="70"/>
      <c r="AP4" s="68"/>
      <c r="AQ4" s="44"/>
      <c r="AR4" s="44"/>
      <c r="AS4" s="44"/>
      <c r="AT4" s="44"/>
      <c r="AU4" s="68"/>
      <c r="AV4" s="3" t="s">
        <v>870</v>
      </c>
      <c r="AW4" s="4" t="s">
        <v>19</v>
      </c>
      <c r="AX4" s="4" t="s">
        <v>2</v>
      </c>
      <c r="AY4" s="18" t="s">
        <v>393</v>
      </c>
      <c r="AZ4" s="44"/>
      <c r="BA4" s="68"/>
      <c r="BB4" s="3" t="s">
        <v>871</v>
      </c>
      <c r="BC4" s="4" t="s">
        <v>19</v>
      </c>
      <c r="BD4" s="4" t="s">
        <v>2</v>
      </c>
      <c r="BE4" s="18" t="s">
        <v>393</v>
      </c>
      <c r="BF4" s="40"/>
      <c r="BG4" s="66" t="s">
        <v>872</v>
      </c>
      <c r="BH4" s="68" t="s">
        <v>873</v>
      </c>
      <c r="BI4" s="44"/>
      <c r="BJ4" s="68"/>
      <c r="BK4" s="3" t="s">
        <v>874</v>
      </c>
      <c r="BL4" s="70"/>
      <c r="BM4" s="70"/>
      <c r="BN4" s="68"/>
      <c r="BO4" s="44"/>
      <c r="BP4" s="44"/>
      <c r="BQ4" s="68"/>
      <c r="BR4" s="3" t="s">
        <v>875</v>
      </c>
      <c r="BS4" s="70"/>
      <c r="BT4" s="70"/>
      <c r="BU4" s="68"/>
      <c r="BV4" s="44"/>
      <c r="BW4" s="68"/>
      <c r="BX4" s="3" t="s">
        <v>876</v>
      </c>
      <c r="BY4" s="68"/>
      <c r="BZ4" s="70"/>
      <c r="CA4" s="68"/>
      <c r="CB4" s="44"/>
      <c r="CC4" s="5" t="s">
        <v>25</v>
      </c>
      <c r="CD4" s="69" t="s">
        <v>26</v>
      </c>
    </row>
    <row r="5" spans="1:82" ht="14.5" x14ac:dyDescent="0.3">
      <c r="A5" s="26">
        <v>30</v>
      </c>
      <c r="B5" s="47" t="str">
        <f t="shared" si="17"/>
        <v>00</v>
      </c>
      <c r="C5" s="47" t="str">
        <f t="shared" si="1"/>
        <v>00</v>
      </c>
      <c r="D5" s="47" t="str">
        <f t="shared" si="2"/>
        <v>00</v>
      </c>
      <c r="E5" s="47" t="str">
        <f t="shared" si="3"/>
        <v>00</v>
      </c>
      <c r="F5" s="47" t="str">
        <f t="shared" si="4"/>
        <v>00</v>
      </c>
      <c r="G5" s="47" t="str">
        <f t="shared" si="5"/>
        <v>00</v>
      </c>
      <c r="H5" s="47" t="str">
        <f t="shared" si="6"/>
        <v>00</v>
      </c>
      <c r="I5" s="47" t="str">
        <f t="shared" si="7"/>
        <v>00</v>
      </c>
      <c r="J5" s="47" t="str">
        <f t="shared" si="8"/>
        <v>00</v>
      </c>
      <c r="K5" s="47" t="str">
        <f t="shared" si="9"/>
        <v>00</v>
      </c>
      <c r="L5" s="47" t="str">
        <f t="shared" si="10"/>
        <v>00</v>
      </c>
      <c r="M5" s="47" t="str">
        <f t="shared" si="11"/>
        <v>00</v>
      </c>
      <c r="N5" s="47" t="str">
        <f t="shared" si="12"/>
        <v>00</v>
      </c>
      <c r="O5" s="47" t="str">
        <f t="shared" si="13"/>
        <v>00</v>
      </c>
      <c r="P5" s="47" t="str">
        <f t="shared" si="14"/>
        <v>00</v>
      </c>
      <c r="Q5" s="47" t="str">
        <f t="shared" si="15"/>
        <v>00</v>
      </c>
      <c r="R5" s="53"/>
      <c r="S5" s="47" t="str">
        <f t="shared" si="16"/>
        <v>00000000</v>
      </c>
      <c r="T5" s="47" t="str">
        <f t="shared" si="0"/>
        <v>00000000</v>
      </c>
      <c r="U5" s="47" t="str">
        <f t="shared" si="0"/>
        <v>00000000</v>
      </c>
      <c r="V5" s="47" t="str">
        <f t="shared" si="0"/>
        <v>00000000</v>
      </c>
      <c r="W5" s="47" t="str">
        <f t="shared" si="0"/>
        <v>00000000</v>
      </c>
      <c r="X5" s="47" t="str">
        <f t="shared" si="0"/>
        <v>00000000</v>
      </c>
      <c r="Y5" s="47" t="str">
        <f t="shared" si="0"/>
        <v>00000000</v>
      </c>
      <c r="Z5" s="47" t="str">
        <f t="shared" si="0"/>
        <v>00000000</v>
      </c>
      <c r="AA5" s="47" t="str">
        <f t="shared" si="0"/>
        <v>00000000</v>
      </c>
      <c r="AB5" s="47" t="str">
        <f t="shared" si="0"/>
        <v>00000000</v>
      </c>
      <c r="AC5" s="47" t="str">
        <f t="shared" si="0"/>
        <v>00000000</v>
      </c>
      <c r="AD5" s="47" t="str">
        <f t="shared" si="0"/>
        <v>00000000</v>
      </c>
      <c r="AE5" s="47" t="str">
        <f t="shared" si="0"/>
        <v>00000000</v>
      </c>
      <c r="AF5" s="47" t="str">
        <f t="shared" si="0"/>
        <v>00000000</v>
      </c>
      <c r="AG5" s="47" t="str">
        <f t="shared" si="0"/>
        <v>00000000</v>
      </c>
      <c r="AH5" s="47" t="str">
        <f t="shared" si="0"/>
        <v>00000000</v>
      </c>
      <c r="AI5" s="44"/>
      <c r="AJ5" s="44"/>
      <c r="AK5" s="44"/>
      <c r="AL5" s="6" t="s">
        <v>877</v>
      </c>
      <c r="AM5" s="71" t="s">
        <v>2057</v>
      </c>
      <c r="AN5" s="70" t="str">
        <f>TEXT(0,"00000000")</f>
        <v>00000000</v>
      </c>
      <c r="AO5" s="70" t="str">
        <f>TEXT(S2,"00000000")</f>
        <v>00000000</v>
      </c>
      <c r="AP5" s="103" t="str">
        <f>IF(AO5=AN5,"Pass","Check the (CPU/SGPIO)")</f>
        <v>Pass</v>
      </c>
      <c r="AQ5" s="44"/>
      <c r="AR5" s="5" t="s">
        <v>878</v>
      </c>
      <c r="AS5" s="72" t="s">
        <v>8</v>
      </c>
      <c r="AT5" s="44"/>
      <c r="AU5" s="44" t="s">
        <v>879</v>
      </c>
      <c r="AV5" s="73" t="s">
        <v>880</v>
      </c>
      <c r="AW5" s="70" t="str">
        <f>TEXT(11110000,"00000000")</f>
        <v>11110000</v>
      </c>
      <c r="AX5" s="70" t="str">
        <f>TEXT(AD3,"00000000")</f>
        <v>01100000</v>
      </c>
      <c r="AY5" s="178" t="s">
        <v>881</v>
      </c>
      <c r="AZ5" s="44"/>
      <c r="BA5" s="9" t="s">
        <v>882</v>
      </c>
      <c r="BB5" s="74" t="s">
        <v>883</v>
      </c>
      <c r="BC5" s="70" t="str">
        <f>TEXT(0,"00000000")</f>
        <v>00000000</v>
      </c>
      <c r="BD5" s="70" t="str">
        <f>TEXT(S5,"00000000")</f>
        <v>00000000</v>
      </c>
      <c r="BE5" s="68"/>
      <c r="BF5" s="44"/>
      <c r="BG5" s="66" t="s">
        <v>884</v>
      </c>
      <c r="BH5" s="68" t="s">
        <v>885</v>
      </c>
      <c r="BI5" s="44"/>
      <c r="BJ5" s="6" t="s">
        <v>886</v>
      </c>
      <c r="BK5" s="71"/>
      <c r="BL5" s="70" t="str">
        <f>TEXT(0,"11110000")</f>
        <v>11110000</v>
      </c>
      <c r="BM5" s="70" t="str">
        <f>AA9</f>
        <v>11110000</v>
      </c>
      <c r="BN5" s="68"/>
      <c r="BO5" s="44"/>
      <c r="BP5" s="44"/>
      <c r="BQ5" s="6" t="s">
        <v>887</v>
      </c>
      <c r="BR5" s="71" t="s">
        <v>888</v>
      </c>
      <c r="BS5" s="70" t="str">
        <f>TEXT(0,"00000000")</f>
        <v>00000000</v>
      </c>
      <c r="BT5" s="70" t="str">
        <f>S11</f>
        <v>00000000</v>
      </c>
      <c r="BU5" s="68"/>
      <c r="BV5" s="44"/>
      <c r="BW5" s="6" t="s">
        <v>889</v>
      </c>
      <c r="BX5" s="71"/>
      <c r="BY5" s="70" t="str">
        <f>TEXT(1001111,"00000000")</f>
        <v>01001111</v>
      </c>
      <c r="BZ5" s="70" t="str">
        <f>S12</f>
        <v>01001111</v>
      </c>
      <c r="CA5" s="68"/>
      <c r="CB5" s="44"/>
      <c r="CC5" s="70" t="str">
        <f>TEXT(0,"0000")</f>
        <v>0000</v>
      </c>
      <c r="CD5" s="68" t="s">
        <v>28</v>
      </c>
    </row>
    <row r="6" spans="1:82" ht="14.5" x14ac:dyDescent="0.3">
      <c r="A6" s="26">
        <v>40</v>
      </c>
      <c r="B6" s="47" t="str">
        <f t="shared" si="17"/>
        <v>80</v>
      </c>
      <c r="C6" s="47" t="str">
        <f t="shared" si="1"/>
        <v>00</v>
      </c>
      <c r="D6" s="47" t="str">
        <f t="shared" si="2"/>
        <v>00</v>
      </c>
      <c r="E6" s="47" t="str">
        <f t="shared" si="3"/>
        <v>00</v>
      </c>
      <c r="F6" s="47" t="str">
        <f t="shared" si="4"/>
        <v>00</v>
      </c>
      <c r="G6" s="47" t="str">
        <f t="shared" si="5"/>
        <v>00</v>
      </c>
      <c r="H6" s="47" t="str">
        <f t="shared" si="6"/>
        <v>00</v>
      </c>
      <c r="I6" s="47" t="str">
        <f t="shared" si="7"/>
        <v>00</v>
      </c>
      <c r="J6" s="47" t="str">
        <f t="shared" si="8"/>
        <v>00</v>
      </c>
      <c r="K6" s="47" t="str">
        <f t="shared" si="9"/>
        <v>00</v>
      </c>
      <c r="L6" s="47" t="str">
        <f t="shared" si="10"/>
        <v>00</v>
      </c>
      <c r="M6" s="47" t="str">
        <f t="shared" si="11"/>
        <v>00</v>
      </c>
      <c r="N6" s="47" t="str">
        <f t="shared" si="12"/>
        <v>00</v>
      </c>
      <c r="O6" s="47" t="str">
        <f t="shared" si="13"/>
        <v>00</v>
      </c>
      <c r="P6" s="47" t="str">
        <f t="shared" si="14"/>
        <v>00</v>
      </c>
      <c r="Q6" s="47" t="str">
        <f t="shared" si="15"/>
        <v>00</v>
      </c>
      <c r="R6" s="53"/>
      <c r="S6" s="47" t="str">
        <f t="shared" si="16"/>
        <v>10000000</v>
      </c>
      <c r="T6" s="47" t="str">
        <f t="shared" si="0"/>
        <v>00000000</v>
      </c>
      <c r="U6" s="47" t="str">
        <f t="shared" si="0"/>
        <v>00000000</v>
      </c>
      <c r="V6" s="47" t="str">
        <f t="shared" si="0"/>
        <v>00000000</v>
      </c>
      <c r="W6" s="47" t="str">
        <f t="shared" si="0"/>
        <v>00000000</v>
      </c>
      <c r="X6" s="47" t="str">
        <f t="shared" si="0"/>
        <v>00000000</v>
      </c>
      <c r="Y6" s="47" t="str">
        <f t="shared" si="0"/>
        <v>00000000</v>
      </c>
      <c r="Z6" s="47" t="str">
        <f t="shared" si="0"/>
        <v>00000000</v>
      </c>
      <c r="AA6" s="47" t="str">
        <f t="shared" si="0"/>
        <v>00000000</v>
      </c>
      <c r="AB6" s="47" t="str">
        <f t="shared" si="0"/>
        <v>00000000</v>
      </c>
      <c r="AC6" s="47" t="str">
        <f t="shared" si="0"/>
        <v>00000000</v>
      </c>
      <c r="AD6" s="47" t="str">
        <f t="shared" si="0"/>
        <v>00000000</v>
      </c>
      <c r="AE6" s="47" t="str">
        <f t="shared" si="0"/>
        <v>00000000</v>
      </c>
      <c r="AF6" s="47" t="str">
        <f t="shared" si="0"/>
        <v>00000000</v>
      </c>
      <c r="AG6" s="47" t="str">
        <f t="shared" si="0"/>
        <v>00000000</v>
      </c>
      <c r="AH6" s="47" t="str">
        <f t="shared" si="0"/>
        <v>00000000</v>
      </c>
      <c r="AI6" s="44"/>
      <c r="AJ6" s="44"/>
      <c r="AK6" s="44"/>
      <c r="AL6" s="66" t="s">
        <v>890</v>
      </c>
      <c r="AM6" s="68" t="s">
        <v>891</v>
      </c>
      <c r="AN6" s="70" t="str">
        <f>MID(AN5,1,3)</f>
        <v>000</v>
      </c>
      <c r="AO6" s="70" t="str">
        <f>MID(AO5,1,3)</f>
        <v>000</v>
      </c>
      <c r="AP6" s="103"/>
      <c r="AQ6" s="44"/>
      <c r="AR6" s="66" t="str">
        <f>TEXT(0,"000")</f>
        <v>000</v>
      </c>
      <c r="AS6" s="68" t="s">
        <v>892</v>
      </c>
      <c r="AT6" s="44"/>
      <c r="AU6" s="68" t="s">
        <v>893</v>
      </c>
      <c r="AV6" s="75" t="s">
        <v>894</v>
      </c>
      <c r="AW6" s="70" t="str">
        <f>MID(AW5,1,1)</f>
        <v>1</v>
      </c>
      <c r="AX6" s="70" t="str">
        <f>MID(AX5,1,1)</f>
        <v>0</v>
      </c>
      <c r="AY6" s="179"/>
      <c r="AZ6" s="44"/>
      <c r="BA6" s="68" t="s">
        <v>895</v>
      </c>
      <c r="BB6" s="68" t="s">
        <v>896</v>
      </c>
      <c r="BC6" s="70" t="str">
        <f>MID(BC5,6,1)</f>
        <v>0</v>
      </c>
      <c r="BD6" s="70" t="str">
        <f>MID(BD5,6,1)</f>
        <v>0</v>
      </c>
      <c r="BE6" s="68"/>
      <c r="BF6" s="44"/>
      <c r="BG6" s="66" t="s">
        <v>897</v>
      </c>
      <c r="BH6" s="68" t="s">
        <v>898</v>
      </c>
      <c r="BI6" s="44"/>
      <c r="BJ6" s="66" t="s">
        <v>899</v>
      </c>
      <c r="BK6" s="68" t="s">
        <v>900</v>
      </c>
      <c r="BL6" s="70" t="str">
        <f>MID(BL5,1,1)</f>
        <v>1</v>
      </c>
      <c r="BM6" s="70" t="str">
        <f>MID(BM5,1,1)</f>
        <v>1</v>
      </c>
      <c r="BN6" s="68"/>
      <c r="BO6" s="44"/>
      <c r="BP6" s="44"/>
      <c r="BQ6" s="66" t="s">
        <v>901</v>
      </c>
      <c r="BR6" s="68" t="s">
        <v>902</v>
      </c>
      <c r="BS6" s="70">
        <v>0</v>
      </c>
      <c r="BT6" s="70" t="str">
        <f>MID(BT5,1,1)</f>
        <v>0</v>
      </c>
      <c r="BU6" s="68"/>
      <c r="BV6" s="44"/>
      <c r="BW6" s="66" t="s">
        <v>903</v>
      </c>
      <c r="BX6" s="68" t="s">
        <v>904</v>
      </c>
      <c r="BY6" s="70" t="str">
        <f>TEXT(100,"0000")</f>
        <v>0100</v>
      </c>
      <c r="BZ6" s="70" t="str">
        <f>MID(BZ5,1,4)</f>
        <v>0100</v>
      </c>
      <c r="CA6" s="68"/>
      <c r="CB6" s="44"/>
      <c r="CC6" s="70" t="str">
        <f>TEXT(1,"0000")</f>
        <v>0001</v>
      </c>
      <c r="CD6" s="68" t="s">
        <v>2027</v>
      </c>
    </row>
    <row r="7" spans="1:82" ht="14.5" x14ac:dyDescent="0.3">
      <c r="A7" s="26">
        <v>50</v>
      </c>
      <c r="B7" s="47" t="str">
        <f t="shared" si="17"/>
        <v>3f</v>
      </c>
      <c r="C7" s="47" t="str">
        <f t="shared" si="1"/>
        <v>c0</v>
      </c>
      <c r="D7" s="47" t="str">
        <f t="shared" si="2"/>
        <v>00</v>
      </c>
      <c r="E7" s="47" t="str">
        <f t="shared" si="3"/>
        <v>00</v>
      </c>
      <c r="F7" s="47" t="str">
        <f t="shared" si="4"/>
        <v>00</v>
      </c>
      <c r="G7" s="47" t="str">
        <f t="shared" si="5"/>
        <v>00</v>
      </c>
      <c r="H7" s="47" t="str">
        <f t="shared" si="6"/>
        <v>00</v>
      </c>
      <c r="I7" s="47" t="str">
        <f t="shared" si="7"/>
        <v>00</v>
      </c>
      <c r="J7" s="47" t="str">
        <f t="shared" si="8"/>
        <v>00</v>
      </c>
      <c r="K7" s="47" t="str">
        <f t="shared" si="9"/>
        <v>00</v>
      </c>
      <c r="L7" s="47" t="str">
        <f t="shared" si="10"/>
        <v>00</v>
      </c>
      <c r="M7" s="47" t="str">
        <f t="shared" si="11"/>
        <v>00</v>
      </c>
      <c r="N7" s="47" t="str">
        <f t="shared" si="12"/>
        <v>00</v>
      </c>
      <c r="O7" s="47" t="str">
        <f t="shared" si="13"/>
        <v>00</v>
      </c>
      <c r="P7" s="47" t="str">
        <f t="shared" si="14"/>
        <v>00</v>
      </c>
      <c r="Q7" s="47" t="str">
        <f t="shared" si="15"/>
        <v>00</v>
      </c>
      <c r="R7" s="53"/>
      <c r="S7" s="47" t="str">
        <f t="shared" si="16"/>
        <v>00111111</v>
      </c>
      <c r="T7" s="47" t="str">
        <f t="shared" si="0"/>
        <v>11000000</v>
      </c>
      <c r="U7" s="47" t="str">
        <f t="shared" si="0"/>
        <v>00000000</v>
      </c>
      <c r="V7" s="47" t="str">
        <f t="shared" si="0"/>
        <v>00000000</v>
      </c>
      <c r="W7" s="47" t="str">
        <f t="shared" si="0"/>
        <v>00000000</v>
      </c>
      <c r="X7" s="47" t="str">
        <f t="shared" si="0"/>
        <v>00000000</v>
      </c>
      <c r="Y7" s="47" t="str">
        <f t="shared" si="0"/>
        <v>00000000</v>
      </c>
      <c r="Z7" s="47" t="str">
        <f t="shared" si="0"/>
        <v>00000000</v>
      </c>
      <c r="AA7" s="47" t="str">
        <f t="shared" si="0"/>
        <v>00000000</v>
      </c>
      <c r="AB7" s="47" t="str">
        <f t="shared" si="0"/>
        <v>00000000</v>
      </c>
      <c r="AC7" s="47" t="str">
        <f t="shared" si="0"/>
        <v>00000000</v>
      </c>
      <c r="AD7" s="47" t="str">
        <f t="shared" si="0"/>
        <v>00000000</v>
      </c>
      <c r="AE7" s="47" t="str">
        <f t="shared" si="0"/>
        <v>00000000</v>
      </c>
      <c r="AF7" s="47" t="str">
        <f t="shared" si="0"/>
        <v>00000000</v>
      </c>
      <c r="AG7" s="47" t="str">
        <f t="shared" si="0"/>
        <v>00000000</v>
      </c>
      <c r="AH7" s="47" t="str">
        <f t="shared" si="0"/>
        <v>00000000</v>
      </c>
      <c r="AI7" s="44"/>
      <c r="AJ7" s="44"/>
      <c r="AK7" s="44"/>
      <c r="AL7" s="66" t="s">
        <v>905</v>
      </c>
      <c r="AM7" s="68" t="s">
        <v>906</v>
      </c>
      <c r="AN7" s="70" t="str">
        <f>MID(AN5,4,2)</f>
        <v>00</v>
      </c>
      <c r="AO7" s="70" t="str">
        <f>MID(AO5,4,2)</f>
        <v>00</v>
      </c>
      <c r="AP7" s="103"/>
      <c r="AQ7" s="44"/>
      <c r="AR7" s="66" t="str">
        <f>TEXT(100,"000")</f>
        <v>100</v>
      </c>
      <c r="AS7" s="68" t="s">
        <v>907</v>
      </c>
      <c r="AT7" s="44"/>
      <c r="AU7" s="68" t="s">
        <v>908</v>
      </c>
      <c r="AV7" s="75" t="s">
        <v>909</v>
      </c>
      <c r="AW7" s="70" t="str">
        <f>MID(AW5,2,1)</f>
        <v>1</v>
      </c>
      <c r="AX7" s="70" t="str">
        <f>MID(AX5,2,1)</f>
        <v>1</v>
      </c>
      <c r="AY7" s="179"/>
      <c r="AZ7" s="44"/>
      <c r="BA7" s="68" t="s">
        <v>910</v>
      </c>
      <c r="BB7" s="68" t="s">
        <v>911</v>
      </c>
      <c r="BC7" s="70" t="str">
        <f>MID(BC5,7,1)</f>
        <v>0</v>
      </c>
      <c r="BD7" s="70" t="str">
        <f>MID(BD5,7,1)</f>
        <v>0</v>
      </c>
      <c r="BE7" s="68"/>
      <c r="BF7" s="44"/>
      <c r="BG7" s="40"/>
      <c r="BH7" s="44"/>
      <c r="BI7" s="44"/>
      <c r="BJ7" s="66" t="s">
        <v>912</v>
      </c>
      <c r="BK7" s="68" t="s">
        <v>913</v>
      </c>
      <c r="BL7" s="70" t="str">
        <f>MID(BL5,2,1)</f>
        <v>1</v>
      </c>
      <c r="BM7" s="70" t="str">
        <f>MID(BM5,2,1)</f>
        <v>1</v>
      </c>
      <c r="BN7" s="68"/>
      <c r="BO7" s="44"/>
      <c r="BP7" s="44"/>
      <c r="BQ7" s="66" t="s">
        <v>914</v>
      </c>
      <c r="BR7" s="68" t="s">
        <v>915</v>
      </c>
      <c r="BS7" s="70">
        <v>0</v>
      </c>
      <c r="BT7" s="70" t="str">
        <f>MID(BT5,2,1)</f>
        <v>0</v>
      </c>
      <c r="BU7" s="68"/>
      <c r="BV7" s="44"/>
      <c r="BW7" s="66" t="s">
        <v>25</v>
      </c>
      <c r="BX7" s="68" t="s">
        <v>26</v>
      </c>
      <c r="BY7" s="70">
        <v>1111</v>
      </c>
      <c r="BZ7" s="70" t="str">
        <f>MID(BZ5,5,4)</f>
        <v>1111</v>
      </c>
      <c r="CA7" s="69" t="str">
        <f>IF(BZ7="0000", "Default",
 IF(BZ7="0001", "SCM AUX (HPM STBY_EN)",
 IF(BZ7="0010", "BMC Boot (HPM STBY_RSTn)",
 IF(BZ7="0011", "CPU Aux OK (S5 state)",
 IF(BZ7="0100", "Enable main power",
 IF(BZ7="0101", "CPU MEM PWR",
 IF(BZ7="0110", "CPU S0 PWROK",
 IF(BZ7="0111", "CPU PWRGD",
 IF(BZ7="1000", "CPU RESET",
 IF(BZ7="1010", "ERROR state",
 IF(BZ7="1011", "ST_ADR",
 IF(BZ7="1100", "ST_HANDSHAKE_0",
 IF(BZ7="1111", "Platform on (S0 state)",
 "Unknown code")))))))))))))</f>
        <v>Platform on (S0 state)</v>
      </c>
      <c r="CB7" s="44"/>
      <c r="CC7" s="70" t="str">
        <f>TEXT(10,"0000")</f>
        <v>0010</v>
      </c>
      <c r="CD7" s="68" t="s">
        <v>33</v>
      </c>
    </row>
    <row r="8" spans="1:82" ht="14.5" x14ac:dyDescent="0.3">
      <c r="A8" s="26">
        <v>60</v>
      </c>
      <c r="B8" s="47" t="str">
        <f t="shared" si="17"/>
        <v>e0</v>
      </c>
      <c r="C8" s="47" t="str">
        <f t="shared" si="1"/>
        <v>00</v>
      </c>
      <c r="D8" s="47" t="str">
        <f t="shared" si="2"/>
        <v>00</v>
      </c>
      <c r="E8" s="47" t="str">
        <f t="shared" si="3"/>
        <v>ff</v>
      </c>
      <c r="F8" s="47" t="str">
        <f t="shared" si="4"/>
        <v>00</v>
      </c>
      <c r="G8" s="47" t="str">
        <f t="shared" si="5"/>
        <v>00</v>
      </c>
      <c r="H8" s="47" t="str">
        <f t="shared" si="6"/>
        <v>67</v>
      </c>
      <c r="I8" s="47" t="str">
        <f t="shared" si="7"/>
        <v>f9</v>
      </c>
      <c r="J8" s="47" t="str">
        <f t="shared" si="8"/>
        <v>ff</v>
      </c>
      <c r="K8" s="47" t="str">
        <f t="shared" si="9"/>
        <v>ff</v>
      </c>
      <c r="L8" s="47" t="str">
        <f t="shared" si="10"/>
        <v>fc</v>
      </c>
      <c r="M8" s="47" t="str">
        <f t="shared" si="11"/>
        <v>00</v>
      </c>
      <c r="N8" s="47" t="str">
        <f t="shared" si="12"/>
        <v>00</v>
      </c>
      <c r="O8" s="47" t="str">
        <f t="shared" si="13"/>
        <v>00</v>
      </c>
      <c r="P8" s="47" t="str">
        <f t="shared" si="14"/>
        <v>00</v>
      </c>
      <c r="Q8" s="47" t="str">
        <f t="shared" si="15"/>
        <v>00</v>
      </c>
      <c r="R8" s="53"/>
      <c r="S8" s="47" t="str">
        <f t="shared" si="16"/>
        <v>11100000</v>
      </c>
      <c r="T8" s="47" t="str">
        <f t="shared" si="0"/>
        <v>00000000</v>
      </c>
      <c r="U8" s="47" t="str">
        <f t="shared" si="0"/>
        <v>00000000</v>
      </c>
      <c r="V8" s="47" t="str">
        <f t="shared" si="0"/>
        <v>11111111</v>
      </c>
      <c r="W8" s="47" t="str">
        <f t="shared" si="0"/>
        <v>00000000</v>
      </c>
      <c r="X8" s="47" t="str">
        <f t="shared" si="0"/>
        <v>00000000</v>
      </c>
      <c r="Y8" s="47" t="str">
        <f t="shared" si="0"/>
        <v>01100111</v>
      </c>
      <c r="Z8" s="47" t="str">
        <f t="shared" si="0"/>
        <v>11111001</v>
      </c>
      <c r="AA8" s="47" t="str">
        <f t="shared" si="0"/>
        <v>11111111</v>
      </c>
      <c r="AB8" s="47" t="str">
        <f t="shared" si="0"/>
        <v>11111111</v>
      </c>
      <c r="AC8" s="47" t="str">
        <f t="shared" si="0"/>
        <v>11111100</v>
      </c>
      <c r="AD8" s="47" t="str">
        <f t="shared" si="0"/>
        <v>00000000</v>
      </c>
      <c r="AE8" s="47" t="str">
        <f t="shared" si="0"/>
        <v>00000000</v>
      </c>
      <c r="AF8" s="47" t="str">
        <f t="shared" si="0"/>
        <v>00000000</v>
      </c>
      <c r="AG8" s="47" t="str">
        <f t="shared" si="0"/>
        <v>00000000</v>
      </c>
      <c r="AH8" s="47" t="str">
        <f t="shared" si="0"/>
        <v>00000000</v>
      </c>
      <c r="AI8" s="44"/>
      <c r="AJ8" s="44"/>
      <c r="AK8" s="44"/>
      <c r="AL8" s="66" t="s">
        <v>916</v>
      </c>
      <c r="AM8" s="68" t="s">
        <v>917</v>
      </c>
      <c r="AN8" s="70" t="str">
        <f>MID(AN5,6,1)</f>
        <v>0</v>
      </c>
      <c r="AO8" s="70" t="str">
        <f>MID(AO5,6,1)</f>
        <v>0</v>
      </c>
      <c r="AP8" s="103"/>
      <c r="AQ8" s="44"/>
      <c r="AR8" s="66" t="str">
        <f>TEXT(10,"000")</f>
        <v>010</v>
      </c>
      <c r="AS8" s="68" t="s">
        <v>918</v>
      </c>
      <c r="AT8" s="44"/>
      <c r="AU8" s="68" t="s">
        <v>919</v>
      </c>
      <c r="AV8" s="75" t="s">
        <v>920</v>
      </c>
      <c r="AW8" s="70" t="str">
        <f>MID(AW5,3,1)</f>
        <v>1</v>
      </c>
      <c r="AX8" s="70" t="str">
        <f>MID(AX5,3,1)</f>
        <v>1</v>
      </c>
      <c r="AY8" s="179"/>
      <c r="AZ8" s="44"/>
      <c r="BA8" s="68" t="s">
        <v>921</v>
      </c>
      <c r="BB8" s="76" t="s">
        <v>922</v>
      </c>
      <c r="BC8" s="70" t="str">
        <f>MID(BC5,8,1)</f>
        <v>0</v>
      </c>
      <c r="BD8" s="70" t="str">
        <f>MID(BD5,8,1)</f>
        <v>0</v>
      </c>
      <c r="BE8" s="68"/>
      <c r="BF8" s="44"/>
      <c r="BG8" s="18" t="s">
        <v>923</v>
      </c>
      <c r="BH8" s="77" t="s">
        <v>924</v>
      </c>
      <c r="BI8" s="44"/>
      <c r="BJ8" s="66" t="s">
        <v>925</v>
      </c>
      <c r="BK8" s="68" t="s">
        <v>926</v>
      </c>
      <c r="BL8" s="70" t="str">
        <f>MID(BL5,3,1)</f>
        <v>1</v>
      </c>
      <c r="BM8" s="70" t="str">
        <f>MID(BM5,3,1)</f>
        <v>1</v>
      </c>
      <c r="BN8" s="68"/>
      <c r="BO8" s="44"/>
      <c r="BP8" s="44"/>
      <c r="BQ8" s="66" t="s">
        <v>927</v>
      </c>
      <c r="BR8" s="68" t="s">
        <v>928</v>
      </c>
      <c r="BS8" s="70">
        <v>0</v>
      </c>
      <c r="BT8" s="70" t="str">
        <f>MID(BT5,3,1)</f>
        <v>0</v>
      </c>
      <c r="BU8" s="68"/>
      <c r="BV8" s="44"/>
      <c r="BW8" s="7" t="s">
        <v>929</v>
      </c>
      <c r="BX8" s="78"/>
      <c r="BY8" s="79" t="str">
        <f>TEXT(10010000,"00000000")</f>
        <v>10010000</v>
      </c>
      <c r="BZ8" s="79" t="str">
        <f>T12</f>
        <v>10010000</v>
      </c>
      <c r="CA8" s="80"/>
      <c r="CB8" s="44"/>
      <c r="CC8" s="70" t="str">
        <f>TEXT(11,"0000")</f>
        <v>0011</v>
      </c>
      <c r="CD8" s="68" t="s">
        <v>35</v>
      </c>
    </row>
    <row r="9" spans="1:82" ht="14.5" x14ac:dyDescent="0.3">
      <c r="A9" s="26">
        <v>70</v>
      </c>
      <c r="B9" s="47" t="str">
        <f t="shared" si="17"/>
        <v>00</v>
      </c>
      <c r="C9" s="47" t="str">
        <f t="shared" si="1"/>
        <v>00</v>
      </c>
      <c r="D9" s="47" t="str">
        <f t="shared" si="2"/>
        <v>00</v>
      </c>
      <c r="E9" s="47" t="str">
        <f t="shared" si="3"/>
        <v>00</v>
      </c>
      <c r="F9" s="47" t="str">
        <f t="shared" si="4"/>
        <v>00</v>
      </c>
      <c r="G9" s="47" t="str">
        <f t="shared" si="5"/>
        <v>00</v>
      </c>
      <c r="H9" s="47" t="str">
        <f t="shared" si="6"/>
        <v>00</v>
      </c>
      <c r="I9" s="47" t="str">
        <f t="shared" si="7"/>
        <v>00</v>
      </c>
      <c r="J9" s="47" t="str">
        <f t="shared" si="8"/>
        <v>f0</v>
      </c>
      <c r="K9" s="47" t="str">
        <f t="shared" si="9"/>
        <v>00</v>
      </c>
      <c r="L9" s="47" t="str">
        <f t="shared" si="10"/>
        <v>00</v>
      </c>
      <c r="M9" s="47" t="str">
        <f t="shared" si="11"/>
        <v>c0</v>
      </c>
      <c r="N9" s="47" t="str">
        <f t="shared" si="12"/>
        <v>00</v>
      </c>
      <c r="O9" s="47" t="str">
        <f t="shared" si="13"/>
        <v>00</v>
      </c>
      <c r="P9" s="47" t="str">
        <f t="shared" si="14"/>
        <v>7b</v>
      </c>
      <c r="Q9" s="47" t="str">
        <f t="shared" si="15"/>
        <v>00</v>
      </c>
      <c r="R9" s="53"/>
      <c r="S9" s="47" t="str">
        <f t="shared" si="16"/>
        <v>00000000</v>
      </c>
      <c r="T9" s="47" t="str">
        <f t="shared" si="0"/>
        <v>00000000</v>
      </c>
      <c r="U9" s="47" t="str">
        <f t="shared" si="0"/>
        <v>00000000</v>
      </c>
      <c r="V9" s="47" t="str">
        <f t="shared" si="0"/>
        <v>00000000</v>
      </c>
      <c r="W9" s="47" t="str">
        <f t="shared" si="0"/>
        <v>00000000</v>
      </c>
      <c r="X9" s="47" t="str">
        <f t="shared" si="0"/>
        <v>00000000</v>
      </c>
      <c r="Y9" s="47" t="str">
        <f t="shared" si="0"/>
        <v>00000000</v>
      </c>
      <c r="Z9" s="47" t="str">
        <f t="shared" si="0"/>
        <v>00000000</v>
      </c>
      <c r="AA9" s="47" t="str">
        <f t="shared" si="0"/>
        <v>11110000</v>
      </c>
      <c r="AB9" s="47" t="str">
        <f t="shared" si="0"/>
        <v>00000000</v>
      </c>
      <c r="AC9" s="47" t="str">
        <f t="shared" si="0"/>
        <v>00000000</v>
      </c>
      <c r="AD9" s="47" t="str">
        <f t="shared" si="0"/>
        <v>11000000</v>
      </c>
      <c r="AE9" s="47" t="str">
        <f t="shared" si="0"/>
        <v>00000000</v>
      </c>
      <c r="AF9" s="47" t="str">
        <f t="shared" si="0"/>
        <v>00000000</v>
      </c>
      <c r="AG9" s="47" t="str">
        <f t="shared" si="0"/>
        <v>01111011</v>
      </c>
      <c r="AH9" s="47" t="str">
        <f t="shared" si="0"/>
        <v>00000000</v>
      </c>
      <c r="AI9" s="44"/>
      <c r="AJ9" s="44"/>
      <c r="AK9" s="44"/>
      <c r="AL9" s="6" t="s">
        <v>930</v>
      </c>
      <c r="AM9" s="71" t="s">
        <v>2058</v>
      </c>
      <c r="AN9" s="70" t="str">
        <f>TEXT(T2,"00000000")</f>
        <v>00000000</v>
      </c>
      <c r="AO9" s="70" t="str">
        <f>TEXT(T2,"00000000")</f>
        <v>00000000</v>
      </c>
      <c r="AP9" s="103" t="str">
        <f>IF(AO9=AN9,"Pass","Check the (CPU/SGPIO)")</f>
        <v>Pass</v>
      </c>
      <c r="AQ9" s="44"/>
      <c r="AR9" s="66" t="str">
        <f>TEXT(110,"000")</f>
        <v>110</v>
      </c>
      <c r="AS9" s="68" t="s">
        <v>931</v>
      </c>
      <c r="AT9" s="44"/>
      <c r="AU9" s="68" t="s">
        <v>932</v>
      </c>
      <c r="AV9" s="75" t="s">
        <v>933</v>
      </c>
      <c r="AW9" s="70" t="str">
        <f>MID(AW5,4,1)</f>
        <v>1</v>
      </c>
      <c r="AX9" s="70" t="str">
        <f>MID(AX5,4,1)</f>
        <v>0</v>
      </c>
      <c r="AY9" s="179"/>
      <c r="AZ9" s="44"/>
      <c r="BA9" s="9" t="s">
        <v>867</v>
      </c>
      <c r="BB9" s="71" t="s">
        <v>934</v>
      </c>
      <c r="BC9" s="70" t="str">
        <f>IF(AP17="2s", "34", IF(AP17="4s", "f6", IF(AP17="8s", "fe", "")))</f>
        <v>f6</v>
      </c>
      <c r="BD9" s="70" t="str">
        <f>P5</f>
        <v>00</v>
      </c>
      <c r="BE9" s="35" t="str">
        <f>IF(BD9="34", "2S mode", IF(BD9="F6", "4S mode", IF(BD9="FE", "8S mode", "Unknown mode")))</f>
        <v>Unknown mode</v>
      </c>
      <c r="BF9" s="44"/>
      <c r="BG9" s="66">
        <v>0</v>
      </c>
      <c r="BH9" s="81" t="s">
        <v>935</v>
      </c>
      <c r="BI9" s="44"/>
      <c r="BJ9" s="66" t="s">
        <v>936</v>
      </c>
      <c r="BK9" s="68" t="s">
        <v>937</v>
      </c>
      <c r="BL9" s="70" t="str">
        <f>MID(BL5,4,1)</f>
        <v>1</v>
      </c>
      <c r="BM9" s="70" t="str">
        <f>MID(BM5,4,1)</f>
        <v>1</v>
      </c>
      <c r="BN9" s="68"/>
      <c r="BO9" s="44"/>
      <c r="BP9" s="44"/>
      <c r="BQ9" s="66" t="s">
        <v>938</v>
      </c>
      <c r="BR9" s="68" t="s">
        <v>939</v>
      </c>
      <c r="BS9" s="70">
        <v>0</v>
      </c>
      <c r="BT9" s="70" t="str">
        <f>MID(BT5,4,1)</f>
        <v>0</v>
      </c>
      <c r="BU9" s="68"/>
      <c r="BV9" s="44"/>
      <c r="BW9" s="66" t="s">
        <v>940</v>
      </c>
      <c r="BX9" s="68" t="s">
        <v>2024</v>
      </c>
      <c r="BY9" s="70">
        <v>100</v>
      </c>
      <c r="BZ9" s="70" t="str">
        <f>MID(BZ8,1,3)</f>
        <v>100</v>
      </c>
      <c r="CA9" s="68" t="str">
        <f>IF(BZ9="000", "INIT",
 IF(BZ9="001", "PVCC3V3_AUX",
 IF(BZ9="010", "PVCCFA_EHV",
 IF(BZ9="011", "PVNN_MAIN",
 IF(BZ9="100", "CPU_AUX_ON, Success",
 IF(BZ9="101", "PVCCFA_EHV_OFF",
 IF(BZ9="110", "PVNN_MAIN_OFF",
 IF(BZ9="111", "PWROFF_TIMEOUT"
))))))))</f>
        <v>CPU_AUX_ON, Success</v>
      </c>
      <c r="CB9" s="44"/>
      <c r="CC9" s="70" t="str">
        <f>TEXT(100,"0000")</f>
        <v>0100</v>
      </c>
      <c r="CD9" s="68" t="s">
        <v>38</v>
      </c>
    </row>
    <row r="10" spans="1:82" ht="14.5" x14ac:dyDescent="0.3">
      <c r="A10" s="26">
        <v>80</v>
      </c>
      <c r="B10" s="47" t="str">
        <f t="shared" si="17"/>
        <v>00</v>
      </c>
      <c r="C10" s="47" t="str">
        <f t="shared" si="1"/>
        <v>cf</v>
      </c>
      <c r="D10" s="47" t="str">
        <f t="shared" si="2"/>
        <v>00</v>
      </c>
      <c r="E10" s="47" t="str">
        <f t="shared" si="3"/>
        <v>00</v>
      </c>
      <c r="F10" s="47" t="str">
        <f t="shared" si="4"/>
        <v>e0</v>
      </c>
      <c r="G10" s="47" t="str">
        <f t="shared" si="5"/>
        <v>00</v>
      </c>
      <c r="H10" s="47" t="str">
        <f t="shared" si="6"/>
        <v>00</v>
      </c>
      <c r="I10" s="47" t="str">
        <f t="shared" si="7"/>
        <v>c0</v>
      </c>
      <c r="J10" s="47" t="str">
        <f t="shared" si="8"/>
        <v>00</v>
      </c>
      <c r="K10" s="47" t="str">
        <f t="shared" si="9"/>
        <v>00</v>
      </c>
      <c r="L10" s="47" t="str">
        <f t="shared" si="10"/>
        <v>00</v>
      </c>
      <c r="M10" s="47" t="str">
        <f t="shared" si="11"/>
        <v>00</v>
      </c>
      <c r="N10" s="47" t="str">
        <f t="shared" si="12"/>
        <v>00</v>
      </c>
      <c r="O10" s="47" t="str">
        <f t="shared" si="13"/>
        <v>00</v>
      </c>
      <c r="P10" s="47" t="str">
        <f t="shared" si="14"/>
        <v>00</v>
      </c>
      <c r="Q10" s="47" t="str">
        <f t="shared" si="15"/>
        <v>00</v>
      </c>
      <c r="R10" s="53"/>
      <c r="S10" s="47" t="str">
        <f t="shared" si="16"/>
        <v>00000000</v>
      </c>
      <c r="T10" s="47" t="str">
        <f t="shared" si="0"/>
        <v>11001111</v>
      </c>
      <c r="U10" s="47" t="str">
        <f t="shared" si="0"/>
        <v>00000000</v>
      </c>
      <c r="V10" s="47" t="str">
        <f t="shared" si="0"/>
        <v>00000000</v>
      </c>
      <c r="W10" s="47" t="str">
        <f t="shared" si="0"/>
        <v>11100000</v>
      </c>
      <c r="X10" s="47" t="str">
        <f t="shared" si="0"/>
        <v>00000000</v>
      </c>
      <c r="Y10" s="47" t="str">
        <f t="shared" si="0"/>
        <v>00000000</v>
      </c>
      <c r="Z10" s="47" t="str">
        <f t="shared" si="0"/>
        <v>11000000</v>
      </c>
      <c r="AA10" s="47" t="str">
        <f t="shared" si="0"/>
        <v>00000000</v>
      </c>
      <c r="AB10" s="47" t="str">
        <f t="shared" si="0"/>
        <v>00000000</v>
      </c>
      <c r="AC10" s="47" t="str">
        <f t="shared" si="0"/>
        <v>00000000</v>
      </c>
      <c r="AD10" s="47" t="str">
        <f t="shared" si="0"/>
        <v>00000000</v>
      </c>
      <c r="AE10" s="47" t="str">
        <f t="shared" si="0"/>
        <v>00000000</v>
      </c>
      <c r="AF10" s="47" t="str">
        <f t="shared" si="0"/>
        <v>00000000</v>
      </c>
      <c r="AG10" s="47" t="str">
        <f t="shared" si="0"/>
        <v>00000000</v>
      </c>
      <c r="AH10" s="47" t="str">
        <f t="shared" si="0"/>
        <v>00000000</v>
      </c>
      <c r="AI10" s="44"/>
      <c r="AJ10" s="44"/>
      <c r="AK10" s="44"/>
      <c r="AL10" s="8" t="s">
        <v>941</v>
      </c>
      <c r="AM10" s="68" t="s">
        <v>942</v>
      </c>
      <c r="AN10" s="70" t="str">
        <f>MID(AN9,1,3)</f>
        <v>000</v>
      </c>
      <c r="AO10" s="70" t="str">
        <f>MID(AO9,1,3)</f>
        <v>000</v>
      </c>
      <c r="AP10" s="68"/>
      <c r="AQ10" s="44"/>
      <c r="AR10" s="66" t="str">
        <f>TEXT(1,"000")</f>
        <v>001</v>
      </c>
      <c r="AS10" s="68" t="s">
        <v>943</v>
      </c>
      <c r="AT10" s="44"/>
      <c r="AU10" s="9" t="s">
        <v>944</v>
      </c>
      <c r="AV10" s="73" t="s">
        <v>945</v>
      </c>
      <c r="AW10" s="70" t="str">
        <f>TEXT(11110000,"00000000")</f>
        <v>11110000</v>
      </c>
      <c r="AX10" s="70" t="str">
        <f>TEXT(AE3,"00000000")</f>
        <v>01100000</v>
      </c>
      <c r="AY10" s="179"/>
      <c r="AZ10" s="44"/>
      <c r="BA10" s="31" t="s">
        <v>867</v>
      </c>
      <c r="BB10" s="68"/>
      <c r="BC10" s="70" t="str">
        <f>TEXT(HEX2BIN(BC9),"00000000")</f>
        <v>11110110</v>
      </c>
      <c r="BD10" s="70" t="str">
        <f>AG5</f>
        <v>00000000</v>
      </c>
      <c r="BE10" s="68"/>
      <c r="BF10" s="44"/>
      <c r="BG10" s="66">
        <v>1</v>
      </c>
      <c r="BH10" s="81" t="s">
        <v>946</v>
      </c>
      <c r="BI10" s="44"/>
      <c r="BJ10" s="66" t="s">
        <v>947</v>
      </c>
      <c r="BK10" s="68" t="s">
        <v>948</v>
      </c>
      <c r="BL10" s="70" t="str">
        <f>MID(BL5,5,1)</f>
        <v>0</v>
      </c>
      <c r="BM10" s="70" t="str">
        <f>MID(BM5,5,1)</f>
        <v>0</v>
      </c>
      <c r="BN10" s="68"/>
      <c r="BO10" s="44"/>
      <c r="BP10" s="44"/>
      <c r="BQ10" s="66" t="s">
        <v>949</v>
      </c>
      <c r="BR10" s="68" t="s">
        <v>950</v>
      </c>
      <c r="BS10" s="70">
        <v>0</v>
      </c>
      <c r="BT10" s="70" t="str">
        <f>MID(BT5,5,1)</f>
        <v>0</v>
      </c>
      <c r="BU10" s="68"/>
      <c r="BV10" s="44"/>
      <c r="BW10" s="66" t="s">
        <v>951</v>
      </c>
      <c r="BX10" s="68" t="s">
        <v>2025</v>
      </c>
      <c r="BY10" s="70">
        <v>100</v>
      </c>
      <c r="BZ10" s="70" t="str">
        <f>MID(BZ8,4,3)</f>
        <v>100</v>
      </c>
      <c r="CA10" s="68" t="str">
        <f>IF(BZ10="000", "INIT",
 IF(BZ10="001", "PVCC3V3_AUX",
 IF(BZ10="010", "PVCCFA_EHV",
 IF(BZ10="011", "PVNN_MAIN",
 IF(BZ10="100", "CPU_AUX_ON, Success",
 IF(BZ10="101", "PVCCFA_EHV_OFF",
 IF(BZ10="110", "PVNN_MAIN_OFF",
 IF(BZ10="111", "PWROFF_TIMEOUT"
))))))))</f>
        <v>CPU_AUX_ON, Success</v>
      </c>
      <c r="CB10" s="44"/>
      <c r="CC10" s="70" t="str">
        <f>TEXT(101,"0000")</f>
        <v>0101</v>
      </c>
      <c r="CD10" s="68" t="s">
        <v>41</v>
      </c>
    </row>
    <row r="11" spans="1:82" ht="14.5" customHeight="1" x14ac:dyDescent="0.3">
      <c r="A11" s="26">
        <v>90</v>
      </c>
      <c r="B11" s="47" t="str">
        <f t="shared" si="17"/>
        <v>00</v>
      </c>
      <c r="C11" s="47" t="str">
        <f t="shared" si="1"/>
        <v>00</v>
      </c>
      <c r="D11" s="47" t="str">
        <f t="shared" si="2"/>
        <v>00</v>
      </c>
      <c r="E11" s="47" t="str">
        <f t="shared" si="3"/>
        <v>00</v>
      </c>
      <c r="F11" s="47" t="str">
        <f t="shared" si="4"/>
        <v>00</v>
      </c>
      <c r="G11" s="47" t="str">
        <f t="shared" si="5"/>
        <v>00</v>
      </c>
      <c r="H11" s="47" t="str">
        <f t="shared" si="6"/>
        <v>00</v>
      </c>
      <c r="I11" s="47" t="str">
        <f t="shared" si="7"/>
        <v>00</v>
      </c>
      <c r="J11" s="47" t="str">
        <f t="shared" si="8"/>
        <v>00</v>
      </c>
      <c r="K11" s="47" t="str">
        <f t="shared" si="9"/>
        <v>00</v>
      </c>
      <c r="L11" s="47" t="str">
        <f t="shared" si="10"/>
        <v>00</v>
      </c>
      <c r="M11" s="47" t="str">
        <f t="shared" si="11"/>
        <v>00</v>
      </c>
      <c r="N11" s="47" t="str">
        <f t="shared" si="12"/>
        <v>80</v>
      </c>
      <c r="O11" s="47" t="str">
        <f t="shared" si="13"/>
        <v>00</v>
      </c>
      <c r="P11" s="47" t="str">
        <f t="shared" si="14"/>
        <v>01</v>
      </c>
      <c r="Q11" s="47" t="str">
        <f t="shared" si="15"/>
        <v>08</v>
      </c>
      <c r="R11" s="53"/>
      <c r="S11" s="47" t="str">
        <f t="shared" si="16"/>
        <v>00000000</v>
      </c>
      <c r="T11" s="47" t="str">
        <f t="shared" si="0"/>
        <v>00000000</v>
      </c>
      <c r="U11" s="47" t="str">
        <f t="shared" si="0"/>
        <v>00000000</v>
      </c>
      <c r="V11" s="47" t="str">
        <f t="shared" si="0"/>
        <v>00000000</v>
      </c>
      <c r="W11" s="47" t="str">
        <f t="shared" si="0"/>
        <v>00000000</v>
      </c>
      <c r="X11" s="47" t="str">
        <f t="shared" si="0"/>
        <v>00000000</v>
      </c>
      <c r="Y11" s="47" t="str">
        <f t="shared" si="0"/>
        <v>00000000</v>
      </c>
      <c r="Z11" s="47" t="str">
        <f t="shared" si="0"/>
        <v>00000000</v>
      </c>
      <c r="AA11" s="47" t="str">
        <f t="shared" si="0"/>
        <v>00000000</v>
      </c>
      <c r="AB11" s="47" t="str">
        <f t="shared" si="0"/>
        <v>00000000</v>
      </c>
      <c r="AC11" s="47" t="str">
        <f t="shared" si="0"/>
        <v>00000000</v>
      </c>
      <c r="AD11" s="47" t="str">
        <f t="shared" si="0"/>
        <v>00000000</v>
      </c>
      <c r="AE11" s="47" t="str">
        <f t="shared" si="0"/>
        <v>10000000</v>
      </c>
      <c r="AF11" s="47" t="str">
        <f t="shared" si="0"/>
        <v>00000000</v>
      </c>
      <c r="AG11" s="47" t="str">
        <f t="shared" si="0"/>
        <v>00000001</v>
      </c>
      <c r="AH11" s="47" t="str">
        <f t="shared" si="0"/>
        <v>00001000</v>
      </c>
      <c r="AI11" s="44"/>
      <c r="AJ11" s="44"/>
      <c r="AK11" s="44"/>
      <c r="AL11" s="8" t="s">
        <v>952</v>
      </c>
      <c r="AM11" s="68" t="s">
        <v>953</v>
      </c>
      <c r="AN11" s="70" t="str">
        <f>MID(AN9,4,2)</f>
        <v>00</v>
      </c>
      <c r="AO11" s="70" t="str">
        <f>MID(AO9,4,2)</f>
        <v>00</v>
      </c>
      <c r="AP11" s="68"/>
      <c r="AQ11" s="44"/>
      <c r="AR11" s="44"/>
      <c r="AS11" s="44"/>
      <c r="AT11" s="44"/>
      <c r="AU11" s="68" t="s">
        <v>954</v>
      </c>
      <c r="AV11" s="75" t="s">
        <v>955</v>
      </c>
      <c r="AW11" s="70" t="str">
        <f>MID(AW10,1,1)</f>
        <v>1</v>
      </c>
      <c r="AX11" s="70" t="str">
        <f>MID(AX10,1,1)</f>
        <v>0</v>
      </c>
      <c r="AY11" s="179"/>
      <c r="AZ11" s="44"/>
      <c r="BA11" s="68" t="s">
        <v>956</v>
      </c>
      <c r="BB11" s="68" t="s">
        <v>957</v>
      </c>
      <c r="BC11" s="70" t="str">
        <f>MID(BC10,1,1)</f>
        <v>1</v>
      </c>
      <c r="BD11" s="70" t="str">
        <f>MID(BD10,1,1)</f>
        <v>0</v>
      </c>
      <c r="BE11" s="178" t="s">
        <v>958</v>
      </c>
      <c r="BF11" s="44"/>
      <c r="BG11" s="66">
        <v>2</v>
      </c>
      <c r="BH11" s="81" t="s">
        <v>959</v>
      </c>
      <c r="BI11" s="44"/>
      <c r="BJ11" s="66" t="s">
        <v>960</v>
      </c>
      <c r="BK11" s="68" t="s">
        <v>961</v>
      </c>
      <c r="BL11" s="70" t="str">
        <f>MID(BL5,6,1)</f>
        <v>0</v>
      </c>
      <c r="BM11" s="70" t="str">
        <f>MID(BM5,6,1)</f>
        <v>0</v>
      </c>
      <c r="BN11" s="68"/>
      <c r="BO11" s="44"/>
      <c r="BP11" s="44"/>
      <c r="BQ11" s="66" t="s">
        <v>962</v>
      </c>
      <c r="BR11" s="68" t="s">
        <v>963</v>
      </c>
      <c r="BS11" s="70">
        <v>0</v>
      </c>
      <c r="BT11" s="70" t="str">
        <f>MID(BT5,6,1)</f>
        <v>0</v>
      </c>
      <c r="BU11" s="68"/>
      <c r="BV11" s="44"/>
      <c r="BW11" s="6" t="s">
        <v>964</v>
      </c>
      <c r="BX11" s="71"/>
      <c r="BY11" s="70" t="str">
        <f>TEXT(1000000,"00000000")</f>
        <v>01000000</v>
      </c>
      <c r="BZ11" s="70" t="str">
        <f>U12</f>
        <v>01000000</v>
      </c>
      <c r="CA11" s="68"/>
      <c r="CB11" s="44"/>
      <c r="CC11" s="70" t="str">
        <f>TEXT(110,"0000")</f>
        <v>0110</v>
      </c>
      <c r="CD11" s="68" t="s">
        <v>44</v>
      </c>
    </row>
    <row r="12" spans="1:82" ht="14.5" x14ac:dyDescent="0.3">
      <c r="A12" s="26" t="s">
        <v>129</v>
      </c>
      <c r="B12" s="47" t="str">
        <f t="shared" si="17"/>
        <v>4f</v>
      </c>
      <c r="C12" s="47" t="str">
        <f t="shared" si="1"/>
        <v>90</v>
      </c>
      <c r="D12" s="47" t="str">
        <f t="shared" si="2"/>
        <v>40</v>
      </c>
      <c r="E12" s="47" t="str">
        <f t="shared" si="3"/>
        <v>55</v>
      </c>
      <c r="F12" s="47" t="str">
        <f t="shared" si="4"/>
        <v>fc</v>
      </c>
      <c r="G12" s="47" t="str">
        <f t="shared" si="5"/>
        <v>ff</v>
      </c>
      <c r="H12" s="47" t="str">
        <f t="shared" si="6"/>
        <v>c0</v>
      </c>
      <c r="I12" s="47" t="str">
        <f t="shared" si="7"/>
        <v>00</v>
      </c>
      <c r="J12" s="47" t="str">
        <f t="shared" si="8"/>
        <v>03</v>
      </c>
      <c r="K12" s="47" t="str">
        <f t="shared" si="9"/>
        <v>00</v>
      </c>
      <c r="L12" s="47" t="str">
        <f t="shared" si="10"/>
        <v>66</v>
      </c>
      <c r="M12" s="47" t="str">
        <f t="shared" si="11"/>
        <v>00</v>
      </c>
      <c r="N12" s="47" t="str">
        <f t="shared" si="12"/>
        <v>9b</v>
      </c>
      <c r="O12" s="47" t="str">
        <f t="shared" si="13"/>
        <v>01</v>
      </c>
      <c r="P12" s="47" t="str">
        <f t="shared" si="14"/>
        <v>00</v>
      </c>
      <c r="Q12" s="47" t="str">
        <f t="shared" si="15"/>
        <v>00</v>
      </c>
      <c r="R12" s="53"/>
      <c r="S12" s="47" t="str">
        <f t="shared" si="16"/>
        <v>01001111</v>
      </c>
      <c r="T12" s="47" t="str">
        <f t="shared" si="0"/>
        <v>10010000</v>
      </c>
      <c r="U12" s="47" t="str">
        <f t="shared" si="0"/>
        <v>01000000</v>
      </c>
      <c r="V12" s="47" t="str">
        <f t="shared" si="0"/>
        <v>01010101</v>
      </c>
      <c r="W12" s="47" t="str">
        <f t="shared" si="0"/>
        <v>11111100</v>
      </c>
      <c r="X12" s="47" t="str">
        <f t="shared" si="0"/>
        <v>11111111</v>
      </c>
      <c r="Y12" s="47" t="str">
        <f t="shared" si="0"/>
        <v>11000000</v>
      </c>
      <c r="Z12" s="47" t="str">
        <f t="shared" si="0"/>
        <v>00000000</v>
      </c>
      <c r="AA12" s="47" t="str">
        <f t="shared" si="0"/>
        <v>00000011</v>
      </c>
      <c r="AB12" s="47" t="str">
        <f t="shared" si="0"/>
        <v>00000000</v>
      </c>
      <c r="AC12" s="47" t="str">
        <f t="shared" si="0"/>
        <v>01100110</v>
      </c>
      <c r="AD12" s="47" t="str">
        <f t="shared" si="0"/>
        <v>00000000</v>
      </c>
      <c r="AE12" s="47" t="str">
        <f t="shared" si="0"/>
        <v>10011011</v>
      </c>
      <c r="AF12" s="47" t="str">
        <f t="shared" si="0"/>
        <v>00000001</v>
      </c>
      <c r="AG12" s="47" t="str">
        <f t="shared" si="0"/>
        <v>00000000</v>
      </c>
      <c r="AH12" s="47" t="str">
        <f t="shared" si="0"/>
        <v>00000000</v>
      </c>
      <c r="AI12" s="44"/>
      <c r="AJ12" s="44"/>
      <c r="AK12" s="44"/>
      <c r="AL12" s="8" t="s">
        <v>965</v>
      </c>
      <c r="AM12" s="68" t="s">
        <v>966</v>
      </c>
      <c r="AN12" s="70" t="str">
        <f>MID(AN9,6,1)</f>
        <v>0</v>
      </c>
      <c r="AO12" s="70" t="str">
        <f>MID(AO9,6,1)</f>
        <v>0</v>
      </c>
      <c r="AP12" s="68"/>
      <c r="AQ12" s="44"/>
      <c r="AR12" s="5" t="s">
        <v>967</v>
      </c>
      <c r="AS12" s="69" t="s">
        <v>968</v>
      </c>
      <c r="AT12" s="44"/>
      <c r="AU12" s="68" t="s">
        <v>969</v>
      </c>
      <c r="AV12" s="75" t="s">
        <v>970</v>
      </c>
      <c r="AW12" s="70" t="str">
        <f>MID(AW10,2,1)</f>
        <v>1</v>
      </c>
      <c r="AX12" s="70" t="str">
        <f>MID(AX10,2,1)</f>
        <v>1</v>
      </c>
      <c r="AY12" s="179"/>
      <c r="AZ12" s="44"/>
      <c r="BA12" s="68" t="s">
        <v>971</v>
      </c>
      <c r="BB12" s="68" t="s">
        <v>972</v>
      </c>
      <c r="BC12" s="70" t="str">
        <f>MID(BC10,2,1)</f>
        <v>1</v>
      </c>
      <c r="BD12" s="70" t="str">
        <f>MID(BD10,2,1)</f>
        <v>0</v>
      </c>
      <c r="BE12" s="179"/>
      <c r="BF12" s="44"/>
      <c r="BG12" s="66">
        <v>3</v>
      </c>
      <c r="BH12" s="81" t="s">
        <v>973</v>
      </c>
      <c r="BI12" s="44"/>
      <c r="BJ12" s="66" t="s">
        <v>974</v>
      </c>
      <c r="BK12" s="75">
        <v>0</v>
      </c>
      <c r="BL12" s="70" t="str">
        <f>MID(BL5,7,1)</f>
        <v>0</v>
      </c>
      <c r="BM12" s="70" t="str">
        <f>MID(BM5,7,1)</f>
        <v>0</v>
      </c>
      <c r="BN12" s="68"/>
      <c r="BO12" s="44"/>
      <c r="BP12" s="44"/>
      <c r="BQ12" s="66" t="s">
        <v>975</v>
      </c>
      <c r="BR12" s="68" t="s">
        <v>976</v>
      </c>
      <c r="BS12" s="70">
        <v>0</v>
      </c>
      <c r="BT12" s="70" t="str">
        <f>MID(BT5,7,1)</f>
        <v>0</v>
      </c>
      <c r="BU12" s="68"/>
      <c r="BV12" s="44"/>
      <c r="BW12" s="66" t="s">
        <v>977</v>
      </c>
      <c r="BX12" s="68" t="s">
        <v>978</v>
      </c>
      <c r="BY12" s="70" t="str">
        <f>TEXT(100,"0000")</f>
        <v>0100</v>
      </c>
      <c r="BZ12" s="70" t="str">
        <f>MID(BZ11,1,4)</f>
        <v>0100</v>
      </c>
      <c r="CA12" s="68" t="str">
        <f>IF(BZ12="0000", "INIT",
 IF(BZ12="0001", "S5_12V",
 IF(BZ12="0010", "ON",
 IF(BZ12="0011", "P3V3_OK",
 IF(BZ12="0100", "DONE, Success",
 IF(BZ12="0101", "PWR_OFF",
 IF(BZ12="0110", "PSU_FAULT",
 IF(BZ12="0111", "P3V3_FAULT"
))))))))</f>
        <v>DONE, Success</v>
      </c>
      <c r="CB12" s="44"/>
      <c r="CC12" s="70" t="str">
        <f>TEXT(111,"0000")</f>
        <v>0111</v>
      </c>
      <c r="CD12" s="68" t="s">
        <v>46</v>
      </c>
    </row>
    <row r="13" spans="1:82" ht="14.5" x14ac:dyDescent="0.3">
      <c r="A13" s="26" t="s">
        <v>139</v>
      </c>
      <c r="B13" s="47" t="str">
        <f t="shared" si="17"/>
        <v>10</v>
      </c>
      <c r="C13" s="47" t="str">
        <f t="shared" si="1"/>
        <v>00</v>
      </c>
      <c r="D13" s="47" t="str">
        <f t="shared" si="2"/>
        <v>00</v>
      </c>
      <c r="E13" s="47" t="str">
        <f t="shared" si="3"/>
        <v>00</v>
      </c>
      <c r="F13" s="47" t="str">
        <f t="shared" si="4"/>
        <v>00</v>
      </c>
      <c r="G13" s="47" t="str">
        <f t="shared" si="5"/>
        <v>00</v>
      </c>
      <c r="H13" s="47" t="str">
        <f t="shared" si="6"/>
        <v>00</v>
      </c>
      <c r="I13" s="47" t="str">
        <f t="shared" si="7"/>
        <v>00</v>
      </c>
      <c r="J13" s="47" t="str">
        <f t="shared" si="8"/>
        <v>00</v>
      </c>
      <c r="K13" s="47" t="str">
        <f t="shared" si="9"/>
        <v>00</v>
      </c>
      <c r="L13" s="47" t="str">
        <f t="shared" si="10"/>
        <v>00</v>
      </c>
      <c r="M13" s="47" t="str">
        <f t="shared" si="11"/>
        <v>00</v>
      </c>
      <c r="N13" s="47" t="str">
        <f t="shared" si="12"/>
        <v>00</v>
      </c>
      <c r="O13" s="47" t="str">
        <f t="shared" si="13"/>
        <v>00</v>
      </c>
      <c r="P13" s="47" t="str">
        <f t="shared" si="14"/>
        <v>00</v>
      </c>
      <c r="Q13" s="47" t="str">
        <f t="shared" si="15"/>
        <v>00</v>
      </c>
      <c r="R13" s="53"/>
      <c r="S13" s="47" t="str">
        <f t="shared" si="16"/>
        <v>00010000</v>
      </c>
      <c r="T13" s="47" t="str">
        <f t="shared" si="0"/>
        <v>00000000</v>
      </c>
      <c r="U13" s="47" t="str">
        <f t="shared" si="0"/>
        <v>00000000</v>
      </c>
      <c r="V13" s="47" t="str">
        <f t="shared" si="0"/>
        <v>00000000</v>
      </c>
      <c r="W13" s="47" t="str">
        <f t="shared" si="0"/>
        <v>00000000</v>
      </c>
      <c r="X13" s="47" t="str">
        <f t="shared" si="0"/>
        <v>00000000</v>
      </c>
      <c r="Y13" s="47" t="str">
        <f t="shared" si="0"/>
        <v>00000000</v>
      </c>
      <c r="Z13" s="47" t="str">
        <f t="shared" si="0"/>
        <v>00000000</v>
      </c>
      <c r="AA13" s="47" t="str">
        <f t="shared" si="0"/>
        <v>00000000</v>
      </c>
      <c r="AB13" s="47" t="str">
        <f t="shared" si="0"/>
        <v>00000000</v>
      </c>
      <c r="AC13" s="47" t="str">
        <f t="shared" si="0"/>
        <v>00000000</v>
      </c>
      <c r="AD13" s="47" t="str">
        <f t="shared" si="0"/>
        <v>00000000</v>
      </c>
      <c r="AE13" s="47" t="str">
        <f t="shared" si="0"/>
        <v>00000000</v>
      </c>
      <c r="AF13" s="47" t="str">
        <f t="shared" si="0"/>
        <v>00000000</v>
      </c>
      <c r="AG13" s="47" t="str">
        <f t="shared" si="0"/>
        <v>00000000</v>
      </c>
      <c r="AH13" s="47" t="str">
        <f t="shared" si="0"/>
        <v>00000000</v>
      </c>
      <c r="AI13" s="44"/>
      <c r="AJ13" s="44"/>
      <c r="AK13" s="44"/>
      <c r="AL13" s="10" t="s">
        <v>979</v>
      </c>
      <c r="AM13" s="71" t="s">
        <v>980</v>
      </c>
      <c r="AN13" s="70"/>
      <c r="AO13" s="70" t="str">
        <f>TEXT(U2,"00000000")</f>
        <v>11000011</v>
      </c>
      <c r="AP13" s="68"/>
      <c r="AQ13" s="44"/>
      <c r="AR13" s="66" t="str">
        <f>TEXT(0,"00")</f>
        <v>00</v>
      </c>
      <c r="AS13" s="68" t="s">
        <v>981</v>
      </c>
      <c r="AT13" s="44"/>
      <c r="AU13" s="68" t="s">
        <v>982</v>
      </c>
      <c r="AV13" s="75" t="s">
        <v>983</v>
      </c>
      <c r="AW13" s="70" t="str">
        <f>MID(AW10,3,1)</f>
        <v>1</v>
      </c>
      <c r="AX13" s="70" t="str">
        <f>MID(AX10,3,1)</f>
        <v>1</v>
      </c>
      <c r="AY13" s="179"/>
      <c r="AZ13" s="44"/>
      <c r="BA13" s="68" t="s">
        <v>984</v>
      </c>
      <c r="BB13" s="68" t="s">
        <v>985</v>
      </c>
      <c r="BC13" s="70" t="str">
        <f>MID(BC10,3,1)</f>
        <v>1</v>
      </c>
      <c r="BD13" s="70" t="str">
        <f>MID(BD10,3,1)</f>
        <v>0</v>
      </c>
      <c r="BE13" s="179"/>
      <c r="BF13" s="44"/>
      <c r="BG13" s="40"/>
      <c r="BH13" s="44"/>
      <c r="BI13" s="44"/>
      <c r="BJ13" s="66" t="s">
        <v>986</v>
      </c>
      <c r="BK13" s="75">
        <v>0</v>
      </c>
      <c r="BL13" s="70" t="str">
        <f>MID(BL5,8,1)</f>
        <v>0</v>
      </c>
      <c r="BM13" s="70" t="str">
        <f>MID(BM5,8,1)</f>
        <v>0</v>
      </c>
      <c r="BN13" s="68"/>
      <c r="BO13" s="44"/>
      <c r="BP13" s="44"/>
      <c r="BQ13" s="66" t="s">
        <v>987</v>
      </c>
      <c r="BR13" s="68" t="s">
        <v>988</v>
      </c>
      <c r="BS13" s="70">
        <v>0</v>
      </c>
      <c r="BT13" s="70" t="str">
        <f>MID(BT5,8,1)</f>
        <v>0</v>
      </c>
      <c r="BU13" s="68"/>
      <c r="BV13" s="44"/>
      <c r="BW13" s="6" t="s">
        <v>989</v>
      </c>
      <c r="BX13" s="71"/>
      <c r="BY13" s="70" t="str">
        <f>TEXT(1010101,"00000000")</f>
        <v>01010101</v>
      </c>
      <c r="BZ13" s="70" t="str">
        <f>V12</f>
        <v>01010101</v>
      </c>
      <c r="CA13" s="68"/>
      <c r="CB13" s="44"/>
      <c r="CC13" s="70">
        <v>1000</v>
      </c>
      <c r="CD13" s="68" t="s">
        <v>48</v>
      </c>
    </row>
    <row r="14" spans="1:82" ht="14.5" x14ac:dyDescent="0.3">
      <c r="A14" s="26" t="s">
        <v>144</v>
      </c>
      <c r="B14" s="47" t="str">
        <f t="shared" si="17"/>
        <v>00</v>
      </c>
      <c r="C14" s="47" t="str">
        <f t="shared" si="1"/>
        <v>00</v>
      </c>
      <c r="D14" s="47" t="str">
        <f t="shared" si="2"/>
        <v>00</v>
      </c>
      <c r="E14" s="47" t="str">
        <f t="shared" si="3"/>
        <v>00</v>
      </c>
      <c r="F14" s="47" t="str">
        <f t="shared" si="4"/>
        <v>00</v>
      </c>
      <c r="G14" s="47" t="str">
        <f t="shared" si="5"/>
        <v>00</v>
      </c>
      <c r="H14" s="47" t="str">
        <f t="shared" si="6"/>
        <v>00</v>
      </c>
      <c r="I14" s="47" t="str">
        <f t="shared" si="7"/>
        <v>00</v>
      </c>
      <c r="J14" s="47" t="str">
        <f t="shared" si="8"/>
        <v>00</v>
      </c>
      <c r="K14" s="47" t="str">
        <f t="shared" si="9"/>
        <v>00</v>
      </c>
      <c r="L14" s="47" t="str">
        <f t="shared" si="10"/>
        <v>00</v>
      </c>
      <c r="M14" s="47" t="str">
        <f t="shared" si="11"/>
        <v>00</v>
      </c>
      <c r="N14" s="47" t="str">
        <f t="shared" si="12"/>
        <v>00</v>
      </c>
      <c r="O14" s="47" t="str">
        <f t="shared" si="13"/>
        <v>00</v>
      </c>
      <c r="P14" s="47" t="str">
        <f t="shared" si="14"/>
        <v>00</v>
      </c>
      <c r="Q14" s="47" t="str">
        <f t="shared" si="15"/>
        <v>00</v>
      </c>
      <c r="R14" s="53"/>
      <c r="S14" s="47" t="str">
        <f t="shared" si="16"/>
        <v>00000000</v>
      </c>
      <c r="T14" s="47" t="str">
        <f t="shared" si="0"/>
        <v>00000000</v>
      </c>
      <c r="U14" s="47" t="str">
        <f t="shared" si="0"/>
        <v>00000000</v>
      </c>
      <c r="V14" s="47" t="str">
        <f t="shared" si="0"/>
        <v>00000000</v>
      </c>
      <c r="W14" s="47" t="str">
        <f t="shared" si="0"/>
        <v>00000000</v>
      </c>
      <c r="X14" s="47" t="str">
        <f t="shared" si="0"/>
        <v>00000000</v>
      </c>
      <c r="Y14" s="47" t="str">
        <f t="shared" si="0"/>
        <v>00000000</v>
      </c>
      <c r="Z14" s="47" t="str">
        <f t="shared" si="0"/>
        <v>00000000</v>
      </c>
      <c r="AA14" s="47" t="str">
        <f t="shared" si="0"/>
        <v>00000000</v>
      </c>
      <c r="AB14" s="47" t="str">
        <f t="shared" si="0"/>
        <v>00000000</v>
      </c>
      <c r="AC14" s="47" t="str">
        <f t="shared" si="0"/>
        <v>00000000</v>
      </c>
      <c r="AD14" s="47" t="str">
        <f t="shared" si="0"/>
        <v>00000000</v>
      </c>
      <c r="AE14" s="47" t="str">
        <f t="shared" si="0"/>
        <v>00000000</v>
      </c>
      <c r="AF14" s="47" t="str">
        <f t="shared" si="0"/>
        <v>00000000</v>
      </c>
      <c r="AG14" s="47" t="str">
        <f t="shared" si="0"/>
        <v>00000000</v>
      </c>
      <c r="AH14" s="47" t="str">
        <f t="shared" si="0"/>
        <v>00000000</v>
      </c>
      <c r="AI14" s="44"/>
      <c r="AJ14" s="44"/>
      <c r="AK14" s="44"/>
      <c r="AL14" s="8" t="s">
        <v>878</v>
      </c>
      <c r="AM14" s="68" t="s">
        <v>990</v>
      </c>
      <c r="AN14" s="70"/>
      <c r="AO14" s="70" t="str">
        <f>MID(AO13,1,3)</f>
        <v>110</v>
      </c>
      <c r="AP14" s="11" t="str">
        <f>IF(AO14="000","POC",IF(AO14="100","EVT",IF(AO14="010","DVT",IF(AO14="110","PVT",IF(AO14="001","MP","")))))</f>
        <v>PVT</v>
      </c>
      <c r="AQ14" s="44"/>
      <c r="AR14" s="66">
        <v>11</v>
      </c>
      <c r="AS14" s="68" t="s">
        <v>991</v>
      </c>
      <c r="AT14" s="44"/>
      <c r="AU14" s="68" t="s">
        <v>992</v>
      </c>
      <c r="AV14" s="75" t="s">
        <v>993</v>
      </c>
      <c r="AW14" s="70" t="str">
        <f>MID(AW10,4,1)</f>
        <v>1</v>
      </c>
      <c r="AX14" s="70" t="str">
        <f>MID(AX10,4,1)</f>
        <v>0</v>
      </c>
      <c r="AY14" s="179"/>
      <c r="AZ14" s="44"/>
      <c r="BA14" s="68" t="s">
        <v>994</v>
      </c>
      <c r="BB14" s="68" t="s">
        <v>995</v>
      </c>
      <c r="BC14" s="70" t="str">
        <f>MID(BC10,4,1)</f>
        <v>1</v>
      </c>
      <c r="BD14" s="70" t="str">
        <f>MID(BD10,4,1)</f>
        <v>0</v>
      </c>
      <c r="BE14" s="179"/>
      <c r="BF14" s="44"/>
      <c r="BG14" s="18" t="s">
        <v>996</v>
      </c>
      <c r="BH14" s="82" t="s">
        <v>997</v>
      </c>
      <c r="BI14" s="44"/>
      <c r="BJ14" s="44"/>
      <c r="BK14" s="44"/>
      <c r="BL14" s="44"/>
      <c r="BM14" s="44"/>
      <c r="BN14" s="44"/>
      <c r="BO14" s="44"/>
      <c r="BP14" s="44"/>
      <c r="BQ14" s="6" t="s">
        <v>998</v>
      </c>
      <c r="BR14" s="71"/>
      <c r="BS14" s="70" t="str">
        <f>TEXT(0,"00000000")</f>
        <v>00000000</v>
      </c>
      <c r="BT14" s="70" t="str">
        <f>T11</f>
        <v>00000000</v>
      </c>
      <c r="BU14" s="68"/>
      <c r="BV14" s="44"/>
      <c r="BW14" s="66" t="s">
        <v>999</v>
      </c>
      <c r="BX14" s="68" t="s">
        <v>1000</v>
      </c>
      <c r="BY14" s="70" t="str">
        <f>TEXT(101,"0000")</f>
        <v>0101</v>
      </c>
      <c r="BZ14" s="70" t="str">
        <f>MID(BZ13,1,4)</f>
        <v>0101</v>
      </c>
      <c r="CA14" s="83" t="str">
        <f>IF(BZ14="0000", "INIT",
 IF(BZ14="0001", "PVCCD_HV",
 IF(BZ14="0010", "PVCCFA_EHV_FIVRA",
 IF(BZ14="0011", "PVCCINFAON",
 IF(BZ14="0100", "PVCCIN",
 IF(BZ14="0101", "PWR_DOWN",
 IF(BZ14="0110", "PVCCIN_OFF",
 IF(BZ14="1000", "PVCCINFAON_OFF",
 IF(BZ14="1001", "PVCCFA_EHV_FIVRA_OFF",
 IF(BZ14="1010", "PVCCD_HV_OFF",
 IF(BZ14="1011", "PWROFF_TIMEOUT"
)))))))))))</f>
        <v>PWR_DOWN</v>
      </c>
      <c r="CB14" s="44"/>
      <c r="CC14" s="70">
        <v>1010</v>
      </c>
      <c r="CD14" s="68" t="s">
        <v>50</v>
      </c>
    </row>
    <row r="15" spans="1:82" ht="14.5" x14ac:dyDescent="0.3">
      <c r="A15" s="26" t="s">
        <v>154</v>
      </c>
      <c r="B15" s="47" t="str">
        <f t="shared" si="17"/>
        <v>00</v>
      </c>
      <c r="C15" s="47" t="str">
        <f t="shared" si="1"/>
        <v>00</v>
      </c>
      <c r="D15" s="47" t="str">
        <f t="shared" si="2"/>
        <v>00</v>
      </c>
      <c r="E15" s="47" t="str">
        <f t="shared" si="3"/>
        <v>00</v>
      </c>
      <c r="F15" s="47" t="str">
        <f t="shared" si="4"/>
        <v>69</v>
      </c>
      <c r="G15" s="47" t="str">
        <f t="shared" si="5"/>
        <v>00</v>
      </c>
      <c r="H15" s="47" t="str">
        <f t="shared" si="6"/>
        <v>00</v>
      </c>
      <c r="I15" s="47" t="str">
        <f t="shared" si="7"/>
        <v>fe</v>
      </c>
      <c r="J15" s="47" t="str">
        <f t="shared" si="8"/>
        <v>00</v>
      </c>
      <c r="K15" s="47" t="str">
        <f t="shared" si="9"/>
        <v>00</v>
      </c>
      <c r="L15" s="47" t="str">
        <f t="shared" si="10"/>
        <v>00</v>
      </c>
      <c r="M15" s="47" t="str">
        <f t="shared" si="11"/>
        <v>00</v>
      </c>
      <c r="N15" s="47" t="str">
        <f t="shared" si="12"/>
        <v>00</v>
      </c>
      <c r="O15" s="47" t="str">
        <f t="shared" si="13"/>
        <v>00</v>
      </c>
      <c r="P15" s="47" t="str">
        <f t="shared" si="14"/>
        <v>00</v>
      </c>
      <c r="Q15" s="47" t="str">
        <f t="shared" si="15"/>
        <v>00</v>
      </c>
      <c r="R15" s="53"/>
      <c r="S15" s="47" t="str">
        <f t="shared" si="16"/>
        <v>00000000</v>
      </c>
      <c r="T15" s="47" t="str">
        <f t="shared" si="0"/>
        <v>00000000</v>
      </c>
      <c r="U15" s="47" t="str">
        <f t="shared" si="0"/>
        <v>00000000</v>
      </c>
      <c r="V15" s="47" t="str">
        <f t="shared" si="0"/>
        <v>00000000</v>
      </c>
      <c r="W15" s="47" t="str">
        <f t="shared" si="0"/>
        <v>01101001</v>
      </c>
      <c r="X15" s="47" t="str">
        <f t="shared" si="0"/>
        <v>00000000</v>
      </c>
      <c r="Y15" s="47" t="str">
        <f t="shared" si="0"/>
        <v>00000000</v>
      </c>
      <c r="Z15" s="47" t="str">
        <f t="shared" si="0"/>
        <v>11111110</v>
      </c>
      <c r="AA15" s="47" t="str">
        <f t="shared" si="0"/>
        <v>00000000</v>
      </c>
      <c r="AB15" s="47" t="str">
        <f t="shared" si="0"/>
        <v>00000000</v>
      </c>
      <c r="AC15" s="47" t="str">
        <f t="shared" si="0"/>
        <v>00000000</v>
      </c>
      <c r="AD15" s="47" t="str">
        <f t="shared" si="0"/>
        <v>00000000</v>
      </c>
      <c r="AE15" s="47" t="str">
        <f t="shared" si="0"/>
        <v>00000000</v>
      </c>
      <c r="AF15" s="47" t="str">
        <f t="shared" si="0"/>
        <v>00000000</v>
      </c>
      <c r="AG15" s="47" t="str">
        <f t="shared" si="0"/>
        <v>00000000</v>
      </c>
      <c r="AH15" s="47" t="str">
        <f t="shared" si="0"/>
        <v>00000000</v>
      </c>
      <c r="AI15" s="44"/>
      <c r="AJ15" s="44"/>
      <c r="AK15" s="44"/>
      <c r="AL15" s="8" t="s">
        <v>1001</v>
      </c>
      <c r="AM15" s="68" t="s">
        <v>1002</v>
      </c>
      <c r="AN15" s="70"/>
      <c r="AO15" s="70" t="str">
        <f>MID(AO13,6,3)</f>
        <v>011</v>
      </c>
      <c r="AP15" s="11" t="str">
        <f>IF(AO15="000","POC",IF(AO15="001","EVT",IF(AO15="010","DVT",IF(AO15="011","PVT",IF(AO15="100","MP","")))))</f>
        <v>PVT</v>
      </c>
      <c r="AQ15" s="44"/>
      <c r="AR15" s="66" t="str">
        <f>TEXT(1,"00")</f>
        <v>01</v>
      </c>
      <c r="AS15" s="68" t="s">
        <v>134</v>
      </c>
      <c r="AT15" s="44"/>
      <c r="AU15" s="9" t="s">
        <v>1003</v>
      </c>
      <c r="AV15" s="73" t="s">
        <v>1004</v>
      </c>
      <c r="AW15" s="70" t="str">
        <f>TEXT(11110000,"00000000")</f>
        <v>11110000</v>
      </c>
      <c r="AX15" s="70" t="str">
        <f>TEXT(AF3,"00000000")</f>
        <v>10100000</v>
      </c>
      <c r="AY15" s="179"/>
      <c r="AZ15" s="44"/>
      <c r="BA15" s="68" t="s">
        <v>1005</v>
      </c>
      <c r="BB15" s="68" t="s">
        <v>1006</v>
      </c>
      <c r="BC15" s="70" t="str">
        <f>MID(BC10,5,1)</f>
        <v>0</v>
      </c>
      <c r="BD15" s="70" t="str">
        <f>MID(BD10,5,1)</f>
        <v>0</v>
      </c>
      <c r="BE15" s="179"/>
      <c r="BF15" s="44"/>
      <c r="BG15" s="66" t="s">
        <v>1007</v>
      </c>
      <c r="BH15" s="68" t="s">
        <v>873</v>
      </c>
      <c r="BI15" s="44"/>
      <c r="BJ15" s="68"/>
      <c r="BK15" s="67" t="s">
        <v>75</v>
      </c>
      <c r="BL15" s="4" t="s">
        <v>19</v>
      </c>
      <c r="BM15" s="4" t="s">
        <v>2</v>
      </c>
      <c r="BN15" s="18" t="s">
        <v>393</v>
      </c>
      <c r="BO15" s="126"/>
      <c r="BP15" s="44"/>
      <c r="BQ15" s="66" t="s">
        <v>1008</v>
      </c>
      <c r="BR15" s="68" t="s">
        <v>1009</v>
      </c>
      <c r="BS15" s="70">
        <v>0</v>
      </c>
      <c r="BT15" s="70" t="str">
        <f>MID(BT14,1,1)</f>
        <v>0</v>
      </c>
      <c r="BU15" s="68"/>
      <c r="BV15" s="44"/>
      <c r="BW15" s="66" t="s">
        <v>1010</v>
      </c>
      <c r="BX15" s="68" t="s">
        <v>1011</v>
      </c>
      <c r="BY15" s="70" t="str">
        <f>TEXT(101,"0000")</f>
        <v>0101</v>
      </c>
      <c r="BZ15" s="70" t="str">
        <f>MID(BZ13,5,4)</f>
        <v>0101</v>
      </c>
      <c r="CA15" s="83" t="str">
        <f>IF(BZ15="0000", "INIT",
 IF(BZ15="0001", "PVCCD_HV",
 IF(BZ15="0010", "PVCCFA_EHV_FIVRA",
 IF(BZ15="0011", "PVCCINFAON",
 IF(BZ15="0100", "PVCCIN",
 IF(BZ15="0101", "PWR_DOWN",
 IF(BZ15="0110", "PVCCIN_OFF",
 IF(BZ15="1000", "PVCCINFAON_OFF",
 IF(BZ15="1001", "PVCCFA_EHV_FIVRA_OFF",
 IF(BZ15="1010", "PVCCD_HV_OFF",
 IF(BZ15="1011", "PWROFF_TIMEOUT"
)))))))))))</f>
        <v>PWR_DOWN</v>
      </c>
      <c r="CB15" s="44"/>
      <c r="CC15" s="70" t="str">
        <f>TEXT(0,"1011")</f>
        <v>1011</v>
      </c>
      <c r="CD15" s="75" t="s">
        <v>53</v>
      </c>
    </row>
    <row r="16" spans="1:82" ht="15" customHeight="1" x14ac:dyDescent="0.3">
      <c r="A16" s="26" t="s">
        <v>163</v>
      </c>
      <c r="B16" s="47" t="str">
        <f t="shared" si="17"/>
        <v>00</v>
      </c>
      <c r="C16" s="47" t="str">
        <f t="shared" si="1"/>
        <v>00</v>
      </c>
      <c r="D16" s="47" t="str">
        <f t="shared" si="2"/>
        <v>00</v>
      </c>
      <c r="E16" s="47" t="str">
        <f t="shared" si="3"/>
        <v>00</v>
      </c>
      <c r="F16" s="47" t="str">
        <f t="shared" si="4"/>
        <v>00</v>
      </c>
      <c r="G16" s="47" t="str">
        <f t="shared" si="5"/>
        <v>00</v>
      </c>
      <c r="H16" s="47" t="str">
        <f t="shared" si="6"/>
        <v>00</v>
      </c>
      <c r="I16" s="47" t="str">
        <f t="shared" si="7"/>
        <v>00</v>
      </c>
      <c r="J16" s="47" t="str">
        <f t="shared" si="8"/>
        <v>00</v>
      </c>
      <c r="K16" s="47" t="str">
        <f t="shared" si="9"/>
        <v>00</v>
      </c>
      <c r="L16" s="47" t="str">
        <f t="shared" si="10"/>
        <v>00</v>
      </c>
      <c r="M16" s="47" t="str">
        <f t="shared" si="11"/>
        <v>00</v>
      </c>
      <c r="N16" s="47" t="str">
        <f t="shared" si="12"/>
        <v>00</v>
      </c>
      <c r="O16" s="47" t="str">
        <f t="shared" si="13"/>
        <v>00</v>
      </c>
      <c r="P16" s="47" t="str">
        <f t="shared" si="14"/>
        <v>00</v>
      </c>
      <c r="Q16" s="47" t="str">
        <f t="shared" si="15"/>
        <v>00</v>
      </c>
      <c r="R16" s="53"/>
      <c r="S16" s="47" t="str">
        <f t="shared" si="16"/>
        <v>00000000</v>
      </c>
      <c r="T16" s="47" t="str">
        <f t="shared" si="0"/>
        <v>00000000</v>
      </c>
      <c r="U16" s="47" t="str">
        <f t="shared" si="0"/>
        <v>00000000</v>
      </c>
      <c r="V16" s="47" t="str">
        <f t="shared" si="0"/>
        <v>00000000</v>
      </c>
      <c r="W16" s="47" t="str">
        <f t="shared" si="0"/>
        <v>00000000</v>
      </c>
      <c r="X16" s="47" t="str">
        <f t="shared" si="0"/>
        <v>00000000</v>
      </c>
      <c r="Y16" s="47" t="str">
        <f t="shared" si="0"/>
        <v>00000000</v>
      </c>
      <c r="Z16" s="47" t="str">
        <f t="shared" si="0"/>
        <v>00000000</v>
      </c>
      <c r="AA16" s="47" t="str">
        <f t="shared" si="0"/>
        <v>00000000</v>
      </c>
      <c r="AB16" s="47" t="str">
        <f t="shared" si="0"/>
        <v>00000000</v>
      </c>
      <c r="AC16" s="47" t="str">
        <f t="shared" si="0"/>
        <v>00000000</v>
      </c>
      <c r="AD16" s="47" t="str">
        <f t="shared" si="0"/>
        <v>00000000</v>
      </c>
      <c r="AE16" s="47" t="str">
        <f t="shared" si="0"/>
        <v>00000000</v>
      </c>
      <c r="AF16" s="47" t="str">
        <f t="shared" si="0"/>
        <v>00000000</v>
      </c>
      <c r="AG16" s="47" t="str">
        <f t="shared" si="0"/>
        <v>00000000</v>
      </c>
      <c r="AH16" s="47" t="str">
        <f t="shared" si="0"/>
        <v>00000000</v>
      </c>
      <c r="AI16" s="44"/>
      <c r="AJ16" s="44"/>
      <c r="AK16" s="44"/>
      <c r="AL16" s="10" t="s">
        <v>1012</v>
      </c>
      <c r="AM16" s="71" t="s">
        <v>1013</v>
      </c>
      <c r="AN16" s="70"/>
      <c r="AO16" s="70" t="str">
        <f>TEXT(V2,"00000000")</f>
        <v>00001100</v>
      </c>
      <c r="AP16" s="68"/>
      <c r="AQ16" s="44"/>
      <c r="AR16" s="66">
        <v>10</v>
      </c>
      <c r="AS16" s="68" t="s">
        <v>1014</v>
      </c>
      <c r="AT16" s="44"/>
      <c r="AU16" s="68" t="s">
        <v>289</v>
      </c>
      <c r="AV16" s="75" t="s">
        <v>1015</v>
      </c>
      <c r="AW16" s="70" t="str">
        <f>MID(AW15,1,1)</f>
        <v>1</v>
      </c>
      <c r="AX16" s="70" t="str">
        <f>MID(AX15,1,1)</f>
        <v>1</v>
      </c>
      <c r="AY16" s="179"/>
      <c r="AZ16" s="44"/>
      <c r="BA16" s="68" t="s">
        <v>1016</v>
      </c>
      <c r="BB16" s="68" t="s">
        <v>1017</v>
      </c>
      <c r="BC16" s="70" t="str">
        <f>MID(BC10,6,1)</f>
        <v>1</v>
      </c>
      <c r="BD16" s="70" t="str">
        <f>MID(BD10,6,1)</f>
        <v>0</v>
      </c>
      <c r="BE16" s="179"/>
      <c r="BF16" s="44"/>
      <c r="BG16" s="66" t="s">
        <v>564</v>
      </c>
      <c r="BH16" s="68" t="s">
        <v>885</v>
      </c>
      <c r="BI16" s="44"/>
      <c r="BJ16" s="68"/>
      <c r="BK16" s="3" t="s">
        <v>1018</v>
      </c>
      <c r="BL16" s="70"/>
      <c r="BM16" s="70"/>
      <c r="BN16" s="68"/>
      <c r="BO16" s="44"/>
      <c r="BP16" s="44"/>
      <c r="BQ16" s="66" t="s">
        <v>1019</v>
      </c>
      <c r="BR16" s="68" t="s">
        <v>1020</v>
      </c>
      <c r="BS16" s="70">
        <v>0</v>
      </c>
      <c r="BT16" s="70" t="str">
        <f>MID(BT14,2,1)</f>
        <v>0</v>
      </c>
      <c r="BU16" s="68"/>
      <c r="BV16" s="44"/>
      <c r="BW16" s="6" t="s">
        <v>1021</v>
      </c>
      <c r="BX16" s="71"/>
      <c r="BY16" s="70" t="str">
        <f>TEXT(11111100,"00000000")</f>
        <v>11111100</v>
      </c>
      <c r="BZ16" s="70" t="str">
        <f>W12</f>
        <v>11111100</v>
      </c>
      <c r="CA16" s="68"/>
      <c r="CB16" s="44"/>
      <c r="CC16" s="70" t="str">
        <f>TEXT(0,"1100")</f>
        <v>1100</v>
      </c>
      <c r="CD16" s="75" t="s">
        <v>55</v>
      </c>
    </row>
    <row r="17" spans="1:82" ht="14.5" x14ac:dyDescent="0.3">
      <c r="A17" s="26" t="s">
        <v>173</v>
      </c>
      <c r="B17" s="47" t="str">
        <f t="shared" si="17"/>
        <v>00</v>
      </c>
      <c r="C17" s="47" t="str">
        <f t="shared" si="1"/>
        <v>00</v>
      </c>
      <c r="D17" s="47" t="str">
        <f t="shared" si="2"/>
        <v>00</v>
      </c>
      <c r="E17" s="47" t="str">
        <f t="shared" si="3"/>
        <v>00</v>
      </c>
      <c r="F17" s="47" t="str">
        <f t="shared" si="4"/>
        <v>00</v>
      </c>
      <c r="G17" s="47" t="str">
        <f t="shared" si="5"/>
        <v>00</v>
      </c>
      <c r="H17" s="47" t="str">
        <f t="shared" si="6"/>
        <v>00</v>
      </c>
      <c r="I17" s="47" t="str">
        <f t="shared" si="7"/>
        <v>00</v>
      </c>
      <c r="J17" s="47" t="str">
        <f t="shared" si="8"/>
        <v>00</v>
      </c>
      <c r="K17" s="47" t="str">
        <f t="shared" si="9"/>
        <v>00</v>
      </c>
      <c r="L17" s="47" t="str">
        <f t="shared" si="10"/>
        <v>00</v>
      </c>
      <c r="M17" s="47" t="str">
        <f t="shared" si="11"/>
        <v>00</v>
      </c>
      <c r="N17" s="47" t="str">
        <f t="shared" si="12"/>
        <v>00</v>
      </c>
      <c r="O17" s="47" t="str">
        <f t="shared" si="13"/>
        <v>00</v>
      </c>
      <c r="P17" s="47" t="str">
        <f t="shared" si="14"/>
        <v>02</v>
      </c>
      <c r="Q17" s="47" t="str">
        <f t="shared" si="15"/>
        <v>0a</v>
      </c>
      <c r="R17" s="62"/>
      <c r="S17" s="47" t="str">
        <f t="shared" si="16"/>
        <v>00000000</v>
      </c>
      <c r="T17" s="47" t="str">
        <f t="shared" si="0"/>
        <v>00000000</v>
      </c>
      <c r="U17" s="47" t="str">
        <f t="shared" si="0"/>
        <v>00000000</v>
      </c>
      <c r="V17" s="47" t="str">
        <f t="shared" si="0"/>
        <v>00000000</v>
      </c>
      <c r="W17" s="47" t="str">
        <f t="shared" si="0"/>
        <v>00000000</v>
      </c>
      <c r="X17" s="47" t="str">
        <f t="shared" si="0"/>
        <v>00000000</v>
      </c>
      <c r="Y17" s="47" t="str">
        <f t="shared" si="0"/>
        <v>00000000</v>
      </c>
      <c r="Z17" s="47" t="str">
        <f t="shared" si="0"/>
        <v>00000000</v>
      </c>
      <c r="AA17" s="47" t="str">
        <f t="shared" si="0"/>
        <v>00000000</v>
      </c>
      <c r="AB17" s="47" t="str">
        <f t="shared" si="0"/>
        <v>00000000</v>
      </c>
      <c r="AC17" s="47" t="str">
        <f t="shared" si="0"/>
        <v>00000000</v>
      </c>
      <c r="AD17" s="47" t="str">
        <f t="shared" si="0"/>
        <v>00000000</v>
      </c>
      <c r="AE17" s="47" t="str">
        <f t="shared" si="0"/>
        <v>00000000</v>
      </c>
      <c r="AF17" s="47" t="str">
        <f t="shared" si="0"/>
        <v>00000000</v>
      </c>
      <c r="AG17" s="47" t="str">
        <f t="shared" si="0"/>
        <v>00000010</v>
      </c>
      <c r="AH17" s="47" t="str">
        <f t="shared" si="0"/>
        <v>00001010</v>
      </c>
      <c r="AI17" s="44"/>
      <c r="AJ17" s="44"/>
      <c r="AK17" s="44"/>
      <c r="AL17" s="8" t="s">
        <v>967</v>
      </c>
      <c r="AM17" s="68" t="s">
        <v>1022</v>
      </c>
      <c r="AN17" s="70"/>
      <c r="AO17" s="70" t="str">
        <f>MID(AO16,5,2)</f>
        <v>11</v>
      </c>
      <c r="AP17" s="12" t="str">
        <f>IF(AO17="00","2S",IF(AO17="01","8S",IF(AO17="10","!!!D2ScheckFRU!!!",IF(AO17="11","4S","ERR"))))</f>
        <v>4S</v>
      </c>
      <c r="AQ17" s="44"/>
      <c r="AR17" s="44"/>
      <c r="AS17" s="44"/>
      <c r="AT17" s="44"/>
      <c r="AU17" s="68" t="s">
        <v>294</v>
      </c>
      <c r="AV17" s="75" t="s">
        <v>1023</v>
      </c>
      <c r="AW17" s="70" t="str">
        <f>MID(AW15,2,1)</f>
        <v>1</v>
      </c>
      <c r="AX17" s="70" t="str">
        <f>MID(AX15,2,1)</f>
        <v>0</v>
      </c>
      <c r="AY17" s="179"/>
      <c r="AZ17" s="44"/>
      <c r="BA17" s="68" t="s">
        <v>1024</v>
      </c>
      <c r="BB17" s="68" t="s">
        <v>1025</v>
      </c>
      <c r="BC17" s="70" t="str">
        <f>MID(BC10,7,1)</f>
        <v>1</v>
      </c>
      <c r="BD17" s="70" t="str">
        <f>MID(BD10,7,1)</f>
        <v>0</v>
      </c>
      <c r="BE17" s="179"/>
      <c r="BF17" s="44"/>
      <c r="BG17" s="66" t="s">
        <v>516</v>
      </c>
      <c r="BH17" s="68" t="s">
        <v>898</v>
      </c>
      <c r="BI17" s="44"/>
      <c r="BJ17" s="6" t="s">
        <v>1026</v>
      </c>
      <c r="BK17" s="71"/>
      <c r="BL17" s="70" t="str">
        <f>TEXT(0,"11000000")</f>
        <v>11000000</v>
      </c>
      <c r="BM17" s="70" t="str">
        <f>AD9</f>
        <v>11000000</v>
      </c>
      <c r="BN17" s="68"/>
      <c r="BO17" s="44"/>
      <c r="BP17" s="44"/>
      <c r="BQ17" s="66" t="s">
        <v>1027</v>
      </c>
      <c r="BR17" s="68" t="s">
        <v>1028</v>
      </c>
      <c r="BS17" s="70">
        <v>0</v>
      </c>
      <c r="BT17" s="70" t="str">
        <f>MID(BT14,3,1)</f>
        <v>0</v>
      </c>
      <c r="BU17" s="68"/>
      <c r="BV17" s="44"/>
      <c r="BW17" s="66" t="s">
        <v>1029</v>
      </c>
      <c r="BX17" s="68" t="s">
        <v>2026</v>
      </c>
      <c r="BY17" s="70">
        <v>111</v>
      </c>
      <c r="BZ17" s="70" t="str">
        <f>MID(BZ16,1,3)</f>
        <v>111</v>
      </c>
      <c r="CA17" s="68"/>
      <c r="CB17" s="44"/>
      <c r="CC17" s="70">
        <v>1111</v>
      </c>
      <c r="CD17" s="68" t="s">
        <v>57</v>
      </c>
    </row>
    <row r="18" spans="1:82" ht="14.5" x14ac:dyDescent="0.3">
      <c r="A18" s="44"/>
      <c r="B18" s="44"/>
      <c r="C18" s="51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51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8" t="s">
        <v>1030</v>
      </c>
      <c r="AM18" s="68" t="s">
        <v>1031</v>
      </c>
      <c r="AN18" s="70"/>
      <c r="AO18" s="70" t="str">
        <f>MID(AO16,7,2)</f>
        <v>00</v>
      </c>
      <c r="AP18" s="13" t="str">
        <f>IF(AO18="00","SLED0",IF(AO18="01","SLED1",IF(AO18="10","SLED2",IF(AO18="11","SLED3","ERR"))))</f>
        <v>SLED0</v>
      </c>
      <c r="AQ18" s="44"/>
      <c r="AR18" s="5" t="s">
        <v>1030</v>
      </c>
      <c r="AS18" s="83" t="s">
        <v>1031</v>
      </c>
      <c r="AT18" s="44"/>
      <c r="AU18" s="68" t="s">
        <v>299</v>
      </c>
      <c r="AV18" s="75" t="s">
        <v>1032</v>
      </c>
      <c r="AW18" s="70" t="str">
        <f>MID(AW15,3,1)</f>
        <v>1</v>
      </c>
      <c r="AX18" s="70" t="str">
        <f>MID(AX15,3,1)</f>
        <v>1</v>
      </c>
      <c r="AY18" s="179"/>
      <c r="AZ18" s="44"/>
      <c r="BA18" s="68" t="s">
        <v>1033</v>
      </c>
      <c r="BB18" s="68" t="s">
        <v>1034</v>
      </c>
      <c r="BC18" s="70" t="str">
        <f>MID(BC10,8,1)</f>
        <v>0</v>
      </c>
      <c r="BD18" s="70" t="str">
        <f>MID(BD10,8,1)</f>
        <v>0</v>
      </c>
      <c r="BE18" s="180"/>
      <c r="BF18" s="44"/>
      <c r="BG18" s="44"/>
      <c r="BH18" s="44"/>
      <c r="BI18" s="44"/>
      <c r="BJ18" s="66" t="s">
        <v>1035</v>
      </c>
      <c r="BK18" s="68" t="s">
        <v>1036</v>
      </c>
      <c r="BL18" s="70" t="str">
        <f>MID(BL17,1,1)</f>
        <v>1</v>
      </c>
      <c r="BM18" s="70" t="str">
        <f>MID(BM17,1,1)</f>
        <v>1</v>
      </c>
      <c r="BN18" s="68"/>
      <c r="BO18" s="44"/>
      <c r="BP18" s="44"/>
      <c r="BQ18" s="66" t="s">
        <v>1037</v>
      </c>
      <c r="BR18" s="68" t="s">
        <v>1038</v>
      </c>
      <c r="BS18" s="70">
        <v>0</v>
      </c>
      <c r="BT18" s="70" t="str">
        <f>MID(BT14,4,1)</f>
        <v>0</v>
      </c>
      <c r="BU18" s="68"/>
      <c r="BV18" s="44"/>
      <c r="BW18" s="66" t="s">
        <v>1039</v>
      </c>
      <c r="BX18" s="68" t="s">
        <v>2026</v>
      </c>
      <c r="BY18" s="70">
        <v>111</v>
      </c>
      <c r="BZ18" s="70" t="str">
        <f>MID(BZ16,4,3)</f>
        <v>111</v>
      </c>
      <c r="CA18" s="68"/>
      <c r="CB18" s="44"/>
      <c r="CC18" s="44"/>
      <c r="CD18" s="44"/>
    </row>
    <row r="19" spans="1:82" ht="14.5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6" t="s">
        <v>1040</v>
      </c>
      <c r="AM19" s="71" t="s">
        <v>1041</v>
      </c>
      <c r="AN19" s="70">
        <v>0</v>
      </c>
      <c r="AO19" s="70" t="str">
        <f>TEXT(W2,"00000000")</f>
        <v>00000011</v>
      </c>
      <c r="AP19" s="68"/>
      <c r="AQ19" s="44"/>
      <c r="AR19" s="66" t="str">
        <f>TEXT(0,"00")</f>
        <v>00</v>
      </c>
      <c r="AS19" s="81" t="s">
        <v>935</v>
      </c>
      <c r="AT19" s="44"/>
      <c r="AU19" s="68" t="s">
        <v>303</v>
      </c>
      <c r="AV19" s="84" t="s">
        <v>1042</v>
      </c>
      <c r="AW19" s="70" t="str">
        <f>MID(AW15,4,1)</f>
        <v>1</v>
      </c>
      <c r="AX19" s="70" t="str">
        <f>MID(AX15,4,1)</f>
        <v>0</v>
      </c>
      <c r="AY19" s="179"/>
      <c r="AZ19" s="44"/>
      <c r="BA19" s="9" t="s">
        <v>1043</v>
      </c>
      <c r="BB19" s="71" t="s">
        <v>934</v>
      </c>
      <c r="BC19" s="68"/>
      <c r="BD19" s="70" t="str">
        <f>'[1]CPLD1 reg'!Q5</f>
        <v>05</v>
      </c>
      <c r="BE19" s="70"/>
      <c r="BF19" s="44"/>
      <c r="BG19" s="44"/>
      <c r="BH19" s="44"/>
      <c r="BI19" s="44"/>
      <c r="BJ19" s="66" t="s">
        <v>1044</v>
      </c>
      <c r="BK19" s="68" t="s">
        <v>1045</v>
      </c>
      <c r="BL19" s="70" t="str">
        <f>MID(BL17,2,1)</f>
        <v>1</v>
      </c>
      <c r="BM19" s="70" t="str">
        <f>MID(BM17,2,1)</f>
        <v>1</v>
      </c>
      <c r="BN19" s="68"/>
      <c r="BO19" s="44"/>
      <c r="BP19" s="44"/>
      <c r="BQ19" s="66" t="s">
        <v>1046</v>
      </c>
      <c r="BR19" s="68" t="s">
        <v>1047</v>
      </c>
      <c r="BS19" s="70">
        <v>0</v>
      </c>
      <c r="BT19" s="70" t="str">
        <f>MID(BT14,5,1)</f>
        <v>0</v>
      </c>
      <c r="BU19" s="68"/>
      <c r="BV19" s="44"/>
      <c r="BW19" s="6" t="s">
        <v>1048</v>
      </c>
      <c r="BX19" s="71" t="s">
        <v>1049</v>
      </c>
      <c r="BY19" s="70">
        <v>11111111</v>
      </c>
      <c r="BZ19" s="70" t="str">
        <f>X12</f>
        <v>11111111</v>
      </c>
      <c r="CA19" s="83" t="str">
        <f>IF(BZ19="00000000","INIT",
IF(BZ19="00000001","HPM_STBY_RDY",
IF(BZ19="00000010","P1V8_AUX PWRGD",
IF(BZ19="00000011","P1V05_AUX PWRGD",
IF(BZ19="00000100","PVCCFA_EHV_CPU0 PWRGD",
IF(BZ19="00000101","PVNN_MAIN_CPU0 PWRGD",
IF(BZ19="00000110","HPM_STBY_RST",
IF(BZ19="00000111","AUX_PWRGD_CPU0_PLD",
IF(BZ19="00001000","SLPS4_N &amp; SLP_S3_N is on",
IF(BZ19="00001001","P12V_MAIN PWRGD",
IF(BZ19="00001010","P3V3_MAIN PWRGD",
IF(BZ19="00001011","PVCCFA_EHV_CPU1 PWRGD",
IF(BZ19="00001100","PVNN_MAIN_CPU1 PWRGD",
IF(BZ19="00001101","PWRGD_AUX_PWRGD_CPU1_PLD",
IF(BZ19="00001110","PWRGD_PVCCD_HV_CPU0",
IF(BZ19="00001111","PWRGD_PVCCD_HV_CPU1",
IF(BZ19="00010000","PWRGD_PVCCFA_EHV_FIVRA_CPU0",
IF(BZ19="00010001","PWRGD_PVCCFA_EHV_FIVRA_CPU1",
IF(BZ19="00010010","PWRGD_PVCCINF_CPU0",
IF(BZ19="00010011","PWRGD_PVCCINF_CPU1",
IF(BZ19="00010100","PWRGD_PVCCIN_CPU0",
IF(BZ19="00010101","PWRGD_PVCCIN_CPU1",
IF(BZ19="00010110","PWRGD_S0_PWROK_CPU0",
IF(BZ19="00010111","PWRGD_S0_PWROK_CPU1",
IF(BZ19="00011000","CPU0_REFCLK_RDY",
IF(BZ19="00011001","CPU1_REFCLK_RDY",
IF(BZ19="11111111","RST_PLTRST release, system on.",
"Unknown Code")))))))))))))))))))))))))))</f>
        <v>RST_PLTRST release, system on.</v>
      </c>
      <c r="CB19" s="44"/>
      <c r="CC19" s="44"/>
      <c r="CD19" s="44"/>
    </row>
    <row r="20" spans="1:82" ht="14.5" customHeight="1" x14ac:dyDescent="0.3">
      <c r="A20" s="168" t="s">
        <v>1050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8" t="s">
        <v>1051</v>
      </c>
      <c r="AM20" s="68" t="s">
        <v>1052</v>
      </c>
      <c r="AN20" s="70">
        <v>1</v>
      </c>
      <c r="AO20" s="70" t="str">
        <f>MID(AO19,7,1)</f>
        <v>1</v>
      </c>
      <c r="AP20" s="68" t="s">
        <v>2031</v>
      </c>
      <c r="AQ20" s="44"/>
      <c r="AR20" s="66" t="str">
        <f>TEXT(1,"00")</f>
        <v>01</v>
      </c>
      <c r="AS20" s="81" t="s">
        <v>946</v>
      </c>
      <c r="AT20" s="44"/>
      <c r="AU20" s="9" t="s">
        <v>1053</v>
      </c>
      <c r="AV20" s="73" t="s">
        <v>945</v>
      </c>
      <c r="AW20" s="70" t="str">
        <f>TEXT(11110000,"00000000")</f>
        <v>11110000</v>
      </c>
      <c r="AX20" s="70" t="str">
        <f>TEXT(AG3,"00000000")</f>
        <v>10100000</v>
      </c>
      <c r="AY20" s="179"/>
      <c r="AZ20" s="44"/>
      <c r="BA20" s="68" t="s">
        <v>1054</v>
      </c>
      <c r="BB20" s="68" t="s">
        <v>924</v>
      </c>
      <c r="BC20" s="68"/>
      <c r="BD20" s="70" t="str">
        <f>MID(BD19,1,1)</f>
        <v>0</v>
      </c>
      <c r="BE20" s="36" t="str">
        <f>IF(BD20="0", "SLED0", IF(BD20="1", "SLED1", IF(BD20="2", "SLED2", IF(BD20="3", "SLED3", "Invalid"))))</f>
        <v>SLED0</v>
      </c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66" t="s">
        <v>1055</v>
      </c>
      <c r="BR20" s="68" t="s">
        <v>1056</v>
      </c>
      <c r="BS20" s="70">
        <v>0</v>
      </c>
      <c r="BT20" s="70" t="str">
        <f>MID(BT14,6,1)</f>
        <v>0</v>
      </c>
      <c r="BU20" s="68"/>
      <c r="BV20" s="44"/>
      <c r="BW20" s="85" t="s">
        <v>1057</v>
      </c>
      <c r="BX20" s="71" t="s">
        <v>1058</v>
      </c>
      <c r="BY20" s="70">
        <v>11000000</v>
      </c>
      <c r="BZ20" s="70" t="str">
        <f>Y12</f>
        <v>11000000</v>
      </c>
      <c r="CA20" s="68"/>
      <c r="CB20" s="44"/>
      <c r="CC20" s="44"/>
      <c r="CD20" s="44"/>
    </row>
    <row r="21" spans="1:82" ht="15" customHeight="1" x14ac:dyDescent="0.3">
      <c r="A21" s="44" t="s">
        <v>193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8" t="s">
        <v>1051</v>
      </c>
      <c r="AM21" s="68" t="s">
        <v>1059</v>
      </c>
      <c r="AN21" s="70">
        <v>1</v>
      </c>
      <c r="AO21" s="70" t="str">
        <f>MID(AO19,8,1)</f>
        <v>1</v>
      </c>
      <c r="AP21" s="68" t="s">
        <v>2031</v>
      </c>
      <c r="AQ21" s="44"/>
      <c r="AR21" s="86">
        <v>10</v>
      </c>
      <c r="AS21" s="81" t="s">
        <v>959</v>
      </c>
      <c r="AT21" s="44"/>
      <c r="AU21" s="68" t="s">
        <v>1060</v>
      </c>
      <c r="AV21" s="75" t="s">
        <v>1061</v>
      </c>
      <c r="AW21" s="70" t="str">
        <f>MID(AW20,1,1)</f>
        <v>1</v>
      </c>
      <c r="AX21" s="70" t="str">
        <f>MID(AX20,1,1)</f>
        <v>1</v>
      </c>
      <c r="AY21" s="179"/>
      <c r="AZ21" s="44"/>
      <c r="BA21" s="68" t="s">
        <v>996</v>
      </c>
      <c r="BB21" s="68" t="s">
        <v>997</v>
      </c>
      <c r="BC21" s="70" t="str">
        <f>IF(AP17="2s", "5", IF(AP17="4s", "d", IF(AP17="8s", "7", "")))</f>
        <v>d</v>
      </c>
      <c r="BD21" s="70" t="str">
        <f>MID(BD19,2,1)</f>
        <v>5</v>
      </c>
      <c r="BE21" s="37" t="str">
        <f>IF(BD21="5", "2S", IF(BD21="D", "4S", IF(BD21="7", "8S", "Unknown")))</f>
        <v>2S</v>
      </c>
      <c r="BF21" s="44"/>
      <c r="BG21" s="44"/>
      <c r="BH21" s="44"/>
      <c r="BI21" s="44"/>
      <c r="BJ21" s="68"/>
      <c r="BK21" s="67" t="s">
        <v>75</v>
      </c>
      <c r="BL21" s="4" t="s">
        <v>19</v>
      </c>
      <c r="BM21" s="4" t="s">
        <v>2</v>
      </c>
      <c r="BN21" s="18" t="s">
        <v>393</v>
      </c>
      <c r="BO21" s="126"/>
      <c r="BP21" s="44"/>
      <c r="BQ21" s="66" t="s">
        <v>1062</v>
      </c>
      <c r="BR21" s="68" t="s">
        <v>1063</v>
      </c>
      <c r="BS21" s="70">
        <v>0</v>
      </c>
      <c r="BT21" s="70" t="str">
        <f>MID(BT14,7,1)</f>
        <v>0</v>
      </c>
      <c r="BU21" s="68"/>
      <c r="BV21" s="44"/>
      <c r="BW21" s="66" t="s">
        <v>1064</v>
      </c>
      <c r="BX21" s="68" t="s">
        <v>1065</v>
      </c>
      <c r="BY21" s="70"/>
      <c r="BZ21" s="70"/>
      <c r="CA21" s="68"/>
      <c r="CB21" s="44"/>
      <c r="CC21" s="14" t="s">
        <v>1048</v>
      </c>
      <c r="CD21" s="83" t="s">
        <v>1049</v>
      </c>
    </row>
    <row r="22" spans="1:82" ht="14.5" x14ac:dyDescent="0.3">
      <c r="A22" s="44" t="s">
        <v>2019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86">
        <v>11</v>
      </c>
      <c r="AS22" s="81" t="s">
        <v>973</v>
      </c>
      <c r="AT22" s="44"/>
      <c r="AU22" s="68" t="s">
        <v>1066</v>
      </c>
      <c r="AV22" s="75" t="s">
        <v>1067</v>
      </c>
      <c r="AW22" s="70" t="str">
        <f>MID(AW20,2,1)</f>
        <v>1</v>
      </c>
      <c r="AX22" s="70" t="str">
        <f>MID(AX20,2,1)</f>
        <v>0</v>
      </c>
      <c r="AY22" s="179"/>
      <c r="AZ22" s="44"/>
      <c r="BA22" s="31" t="s">
        <v>867</v>
      </c>
      <c r="BB22" s="68"/>
      <c r="BC22" s="70" t="str">
        <f>TEXT(HEX2BIN(BC21),"00000000")</f>
        <v>00001101</v>
      </c>
      <c r="BD22" s="70" t="str">
        <f>'[1]CPLD1 reg'!AH5</f>
        <v>00000101</v>
      </c>
      <c r="BE22" s="68"/>
      <c r="BF22" s="44"/>
      <c r="BG22" s="44"/>
      <c r="BH22" s="44"/>
      <c r="BI22" s="44"/>
      <c r="BJ22" s="68"/>
      <c r="BK22" s="3"/>
      <c r="BL22" s="70"/>
      <c r="BM22" s="70"/>
      <c r="BN22" s="68"/>
      <c r="BO22" s="44"/>
      <c r="BP22" s="44"/>
      <c r="BQ22" s="66" t="s">
        <v>1068</v>
      </c>
      <c r="BR22" s="68" t="s">
        <v>1069</v>
      </c>
      <c r="BS22" s="70">
        <v>0</v>
      </c>
      <c r="BT22" s="70" t="str">
        <f>MID(BT14,8,1)</f>
        <v>0</v>
      </c>
      <c r="BU22" s="68"/>
      <c r="BV22" s="44"/>
      <c r="BW22" s="85" t="s">
        <v>1070</v>
      </c>
      <c r="BX22" s="71" t="s">
        <v>1071</v>
      </c>
      <c r="BY22" s="70" t="str">
        <f>TEXT(0,"00000000")</f>
        <v>00000000</v>
      </c>
      <c r="BZ22" s="70" t="str">
        <f>Z12</f>
        <v>00000000</v>
      </c>
      <c r="CA22" s="68"/>
      <c r="CB22" s="44"/>
      <c r="CC22" s="70" t="s">
        <v>1072</v>
      </c>
      <c r="CD22" s="68" t="s">
        <v>1073</v>
      </c>
    </row>
    <row r="23" spans="1:82" ht="14.5" x14ac:dyDescent="0.3">
      <c r="A23" s="44" t="s">
        <v>2047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66"/>
      <c r="AM23" s="67" t="s">
        <v>75</v>
      </c>
      <c r="AN23" s="4" t="s">
        <v>19</v>
      </c>
      <c r="AO23" s="4" t="s">
        <v>2</v>
      </c>
      <c r="AP23" s="4" t="s">
        <v>866</v>
      </c>
      <c r="AQ23" s="44"/>
      <c r="AR23" s="44"/>
      <c r="AS23" s="44"/>
      <c r="AT23" s="44"/>
      <c r="AU23" s="68" t="s">
        <v>1074</v>
      </c>
      <c r="AV23" s="75" t="s">
        <v>1075</v>
      </c>
      <c r="AW23" s="70" t="str">
        <f>MID(AW20,3,1)</f>
        <v>1</v>
      </c>
      <c r="AX23" s="70" t="str">
        <f>MID(AX20,3,1)</f>
        <v>1</v>
      </c>
      <c r="AY23" s="179"/>
      <c r="AZ23" s="44"/>
      <c r="BA23" s="68" t="s">
        <v>956</v>
      </c>
      <c r="BB23" s="68" t="s">
        <v>122</v>
      </c>
      <c r="BC23" s="70" t="str">
        <f>MID(BC22,1,1)</f>
        <v>0</v>
      </c>
      <c r="BD23" s="70" t="str">
        <f>MID(BD22,1,1)</f>
        <v>0</v>
      </c>
      <c r="BE23" s="68"/>
      <c r="BF23" s="44"/>
      <c r="BG23" s="44"/>
      <c r="BH23" s="44"/>
      <c r="BI23" s="44"/>
      <c r="BJ23" s="6" t="s">
        <v>1076</v>
      </c>
      <c r="BK23" s="71"/>
      <c r="BL23" s="70" t="str">
        <f>TEXT(0,"01111011")</f>
        <v>01111011</v>
      </c>
      <c r="BM23" s="70" t="str">
        <f>AG9</f>
        <v>01111011</v>
      </c>
      <c r="BN23" s="68"/>
      <c r="BO23" s="44"/>
      <c r="BP23" s="44"/>
      <c r="BQ23" s="6" t="s">
        <v>1077</v>
      </c>
      <c r="BR23" s="71"/>
      <c r="BS23" s="70" t="str">
        <f>TEXT(0,"00000000")</f>
        <v>00000000</v>
      </c>
      <c r="BT23" s="70" t="str">
        <f>U11</f>
        <v>00000000</v>
      </c>
      <c r="BU23" s="68"/>
      <c r="BV23" s="44"/>
      <c r="BW23" s="66" t="s">
        <v>1078</v>
      </c>
      <c r="BX23" s="68" t="s">
        <v>1079</v>
      </c>
      <c r="BY23" s="70" t="str">
        <f>TEXT(0,"0000")</f>
        <v>0000</v>
      </c>
      <c r="BZ23" s="70" t="str">
        <f>MID(BZ22,1,4)</f>
        <v>0000</v>
      </c>
      <c r="CA23" s="68"/>
      <c r="CB23" s="44"/>
      <c r="CC23" s="70" t="s">
        <v>1080</v>
      </c>
      <c r="CD23" s="68" t="s">
        <v>514</v>
      </c>
    </row>
    <row r="24" spans="1:82" ht="14.5" x14ac:dyDescent="0.3">
      <c r="A24" s="44" t="s">
        <v>2048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66"/>
      <c r="AM24" s="15" t="s">
        <v>1081</v>
      </c>
      <c r="AN24" s="70"/>
      <c r="AO24" s="70"/>
      <c r="AP24" s="68"/>
      <c r="AQ24" s="44"/>
      <c r="AR24" s="18" t="s">
        <v>1082</v>
      </c>
      <c r="AS24" s="87" t="s">
        <v>1083</v>
      </c>
      <c r="AT24" s="44"/>
      <c r="AU24" s="68" t="s">
        <v>1084</v>
      </c>
      <c r="AV24" s="75" t="s">
        <v>1085</v>
      </c>
      <c r="AW24" s="70" t="str">
        <f>MID(AW20,4,1)</f>
        <v>1</v>
      </c>
      <c r="AX24" s="70" t="str">
        <f>MID(AX20,4,1)</f>
        <v>0</v>
      </c>
      <c r="AY24" s="180"/>
      <c r="AZ24" s="44"/>
      <c r="BA24" s="68" t="s">
        <v>971</v>
      </c>
      <c r="BB24" s="68" t="s">
        <v>122</v>
      </c>
      <c r="BC24" s="70" t="str">
        <f>MID(BC22,2,1)</f>
        <v>0</v>
      </c>
      <c r="BD24" s="70" t="str">
        <f>MID(BD22,2,1)</f>
        <v>0</v>
      </c>
      <c r="BE24" s="68"/>
      <c r="BF24" s="44"/>
      <c r="BG24" s="44"/>
      <c r="BH24" s="44"/>
      <c r="BI24" s="44"/>
      <c r="BJ24" s="66" t="s">
        <v>1086</v>
      </c>
      <c r="BK24" s="68" t="s">
        <v>1087</v>
      </c>
      <c r="BL24" s="70" t="str">
        <f>MID(BL23,1,1)</f>
        <v>0</v>
      </c>
      <c r="BM24" s="70" t="str">
        <f>MID(BM23,1,1)</f>
        <v>0</v>
      </c>
      <c r="BN24" s="68"/>
      <c r="BO24" s="44" t="s">
        <v>1088</v>
      </c>
      <c r="BP24" s="44"/>
      <c r="BQ24" s="66" t="s">
        <v>1089</v>
      </c>
      <c r="BR24" s="68" t="s">
        <v>1090</v>
      </c>
      <c r="BS24" s="70">
        <v>0</v>
      </c>
      <c r="BT24" s="70" t="str">
        <f>MID(BT23,1,1)</f>
        <v>0</v>
      </c>
      <c r="BU24" s="68"/>
      <c r="BV24" s="44"/>
      <c r="BW24" s="66" t="s">
        <v>1091</v>
      </c>
      <c r="BX24" s="68" t="s">
        <v>1092</v>
      </c>
      <c r="BY24" s="70" t="str">
        <f>TEXT(0,"0")</f>
        <v>0</v>
      </c>
      <c r="BZ24" s="70" t="str">
        <f>MID(BZ22,5,1)</f>
        <v>0</v>
      </c>
      <c r="CA24" s="68"/>
      <c r="CB24" s="44"/>
      <c r="CC24" s="70" t="s">
        <v>1093</v>
      </c>
      <c r="CD24" s="68" t="s">
        <v>1094</v>
      </c>
    </row>
    <row r="25" spans="1:82" ht="14.5" x14ac:dyDescent="0.3">
      <c r="A25" s="44" t="s">
        <v>2020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16" t="s">
        <v>1095</v>
      </c>
      <c r="AM25" s="17" t="s">
        <v>1096</v>
      </c>
      <c r="AN25" s="70">
        <v>10000000</v>
      </c>
      <c r="AO25" s="70" t="str">
        <f>TEXT(X2,"00000000")</f>
        <v>10000000</v>
      </c>
      <c r="AP25" s="68"/>
      <c r="AQ25" s="44"/>
      <c r="AR25" s="66" t="str">
        <f>TEXT(0,"00")</f>
        <v>00</v>
      </c>
      <c r="AS25" s="68" t="s">
        <v>981</v>
      </c>
      <c r="AT25" s="44"/>
      <c r="AU25" s="9" t="s">
        <v>1097</v>
      </c>
      <c r="AV25" s="73" t="s">
        <v>1098</v>
      </c>
      <c r="AW25" s="70" t="str">
        <f>TEXT(11110000,"00000000")</f>
        <v>11110000</v>
      </c>
      <c r="AX25" s="70" t="str">
        <f>TEXT(AH3,"00000000")</f>
        <v>11110000</v>
      </c>
      <c r="AY25" s="68"/>
      <c r="AZ25" s="44"/>
      <c r="BA25" s="68" t="s">
        <v>984</v>
      </c>
      <c r="BB25" s="68" t="s">
        <v>1099</v>
      </c>
      <c r="BC25" s="70" t="str">
        <f>MID(BC22,3,1)</f>
        <v>0</v>
      </c>
      <c r="BD25" s="70" t="str">
        <f>MID(BD22,3,1)</f>
        <v>0</v>
      </c>
      <c r="BE25" s="68"/>
      <c r="BF25" s="44"/>
      <c r="BG25" s="44"/>
      <c r="BH25" s="44"/>
      <c r="BI25" s="44"/>
      <c r="BJ25" s="66" t="s">
        <v>1100</v>
      </c>
      <c r="BK25" s="68" t="s">
        <v>1101</v>
      </c>
      <c r="BL25" s="70" t="str">
        <f>MID(BL23,2,1)</f>
        <v>1</v>
      </c>
      <c r="BM25" s="70" t="str">
        <f>MID(BM23,2,1)</f>
        <v>1</v>
      </c>
      <c r="BN25" s="68"/>
      <c r="BO25" s="44" t="s">
        <v>1102</v>
      </c>
      <c r="BP25" s="44"/>
      <c r="BQ25" s="66" t="s">
        <v>1103</v>
      </c>
      <c r="BR25" s="68" t="s">
        <v>1104</v>
      </c>
      <c r="BS25" s="70">
        <v>0</v>
      </c>
      <c r="BT25" s="70" t="str">
        <f>MID(BT23,2,1)</f>
        <v>0</v>
      </c>
      <c r="BU25" s="68"/>
      <c r="BV25" s="44"/>
      <c r="BW25" s="66" t="s">
        <v>1105</v>
      </c>
      <c r="BX25" s="68" t="s">
        <v>1106</v>
      </c>
      <c r="BY25" s="70" t="str">
        <f>TEXT(0,"00")</f>
        <v>00</v>
      </c>
      <c r="BZ25" s="70" t="str">
        <f>MID(BZ22,6,2)</f>
        <v>00</v>
      </c>
      <c r="CA25" s="68"/>
      <c r="CB25" s="44"/>
      <c r="CC25" s="70" t="s">
        <v>1107</v>
      </c>
      <c r="CD25" s="68" t="s">
        <v>1108</v>
      </c>
    </row>
    <row r="26" spans="1:82" ht="14.5" x14ac:dyDescent="0.3">
      <c r="A26" s="44" t="s">
        <v>2049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19" t="s">
        <v>1109</v>
      </c>
      <c r="AM26" s="68" t="s">
        <v>1110</v>
      </c>
      <c r="AN26" s="70"/>
      <c r="AO26" s="70"/>
      <c r="AP26" s="68"/>
      <c r="AQ26" s="44"/>
      <c r="AR26" s="66">
        <v>11</v>
      </c>
      <c r="AS26" s="68" t="s">
        <v>991</v>
      </c>
      <c r="AT26" s="44"/>
      <c r="AU26" s="68" t="s">
        <v>1111</v>
      </c>
      <c r="AV26" s="75" t="s">
        <v>1112</v>
      </c>
      <c r="AW26" s="70" t="str">
        <f>MID(AW25,1,1)</f>
        <v>1</v>
      </c>
      <c r="AX26" s="70" t="str">
        <f>MID(AX25,1,1)</f>
        <v>1</v>
      </c>
      <c r="AY26" s="68"/>
      <c r="AZ26" s="44"/>
      <c r="BA26" s="68" t="s">
        <v>994</v>
      </c>
      <c r="BB26" s="68" t="s">
        <v>1113</v>
      </c>
      <c r="BC26" s="70" t="str">
        <f>MID(BC22,4,1)</f>
        <v>0</v>
      </c>
      <c r="BD26" s="70" t="str">
        <f>MID(BD22,4,1)</f>
        <v>0</v>
      </c>
      <c r="BE26" s="68"/>
      <c r="BF26" s="44"/>
      <c r="BG26" s="44"/>
      <c r="BH26" s="44"/>
      <c r="BI26" s="44"/>
      <c r="BJ26" s="66" t="s">
        <v>1114</v>
      </c>
      <c r="BK26" s="68" t="s">
        <v>1115</v>
      </c>
      <c r="BL26" s="70" t="str">
        <f>MID(BL23,3,1)</f>
        <v>1</v>
      </c>
      <c r="BM26" s="70" t="str">
        <f>MID(BM23,3,1)</f>
        <v>1</v>
      </c>
      <c r="BN26" s="68"/>
      <c r="BO26" s="44"/>
      <c r="BP26" s="44"/>
      <c r="BQ26" s="66" t="s">
        <v>1116</v>
      </c>
      <c r="BR26" s="68" t="s">
        <v>1117</v>
      </c>
      <c r="BS26" s="70">
        <v>0</v>
      </c>
      <c r="BT26" s="70" t="str">
        <f>MID(BT23,3,1)</f>
        <v>0</v>
      </c>
      <c r="BU26" s="68"/>
      <c r="BV26" s="44"/>
      <c r="BW26" s="6" t="s">
        <v>1118</v>
      </c>
      <c r="BX26" s="71" t="s">
        <v>1119</v>
      </c>
      <c r="BY26" s="70" t="str">
        <f>TEXT(11,"00000000")</f>
        <v>00000011</v>
      </c>
      <c r="BZ26" s="70" t="str">
        <f>AA12</f>
        <v>00000011</v>
      </c>
      <c r="CA26" s="68"/>
      <c r="CB26" s="44"/>
      <c r="CC26" s="70" t="s">
        <v>1120</v>
      </c>
      <c r="CD26" s="68" t="s">
        <v>1121</v>
      </c>
    </row>
    <row r="27" spans="1:82" ht="14.5" x14ac:dyDescent="0.3">
      <c r="A27" s="44" t="s">
        <v>2050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19" t="s">
        <v>1122</v>
      </c>
      <c r="AM27" s="68" t="s">
        <v>1123</v>
      </c>
      <c r="AN27" s="70"/>
      <c r="AO27" s="70"/>
      <c r="AP27" s="68"/>
      <c r="AQ27" s="44"/>
      <c r="AR27" s="66" t="str">
        <f>TEXT(1,"00")</f>
        <v>01</v>
      </c>
      <c r="AS27" s="68" t="s">
        <v>134</v>
      </c>
      <c r="AT27" s="44"/>
      <c r="AU27" s="68" t="s">
        <v>1124</v>
      </c>
      <c r="AV27" s="75" t="s">
        <v>1125</v>
      </c>
      <c r="AW27" s="70" t="str">
        <f>MID(AW25,2,1)</f>
        <v>1</v>
      </c>
      <c r="AX27" s="70" t="str">
        <f>MID(AX25,2,1)</f>
        <v>1</v>
      </c>
      <c r="AY27" s="68"/>
      <c r="AZ27" s="44"/>
      <c r="BA27" s="68" t="s">
        <v>1005</v>
      </c>
      <c r="BB27" s="68" t="s">
        <v>1126</v>
      </c>
      <c r="BC27" s="70" t="str">
        <f>MID(BC22,5,1)</f>
        <v>1</v>
      </c>
      <c r="BD27" s="70" t="str">
        <f>MID(BD22,5,1)</f>
        <v>0</v>
      </c>
      <c r="BE27" s="178" t="s">
        <v>958</v>
      </c>
      <c r="BF27" s="44"/>
      <c r="BG27" s="44"/>
      <c r="BH27" s="44"/>
      <c r="BI27" s="44"/>
      <c r="BJ27" s="66" t="s">
        <v>1127</v>
      </c>
      <c r="BK27" s="68" t="s">
        <v>1128</v>
      </c>
      <c r="BL27" s="70" t="str">
        <f>MID(BL23,4,1)</f>
        <v>1</v>
      </c>
      <c r="BM27" s="70" t="str">
        <f>MID(BM23,4,1)</f>
        <v>1</v>
      </c>
      <c r="BN27" s="68"/>
      <c r="BO27" s="44"/>
      <c r="BP27" s="44"/>
      <c r="BQ27" s="66" t="s">
        <v>1129</v>
      </c>
      <c r="BR27" s="68" t="s">
        <v>1130</v>
      </c>
      <c r="BS27" s="70">
        <v>0</v>
      </c>
      <c r="BT27" s="70" t="str">
        <f>MID(BT23,4,1)</f>
        <v>0</v>
      </c>
      <c r="BU27" s="68"/>
      <c r="BV27" s="44"/>
      <c r="BW27" s="66" t="s">
        <v>1131</v>
      </c>
      <c r="BX27" s="68" t="s">
        <v>1132</v>
      </c>
      <c r="BY27" s="70">
        <v>0</v>
      </c>
      <c r="BZ27" s="70" t="str">
        <f>MID(BZ26,1,6)</f>
        <v>000000</v>
      </c>
      <c r="CA27" s="68"/>
      <c r="CB27" s="44"/>
      <c r="CC27" s="70" t="s">
        <v>1133</v>
      </c>
      <c r="CD27" s="68" t="s">
        <v>1134</v>
      </c>
    </row>
    <row r="28" spans="1:82" ht="14.5" x14ac:dyDescent="0.3">
      <c r="A28" s="44" t="s">
        <v>2051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10" t="s">
        <v>1135</v>
      </c>
      <c r="AM28" s="71" t="s">
        <v>1136</v>
      </c>
      <c r="AN28" s="70">
        <v>0</v>
      </c>
      <c r="AO28" s="70" t="str">
        <f>TEXT(Y2,"00000000")</f>
        <v>00000000</v>
      </c>
      <c r="AP28" s="68"/>
      <c r="AQ28" s="44"/>
      <c r="AR28" s="66">
        <v>10</v>
      </c>
      <c r="AS28" s="68" t="s">
        <v>1137</v>
      </c>
      <c r="AT28" s="44"/>
      <c r="AU28" s="68" t="s">
        <v>1138</v>
      </c>
      <c r="AV28" s="75" t="s">
        <v>1139</v>
      </c>
      <c r="AW28" s="70" t="str">
        <f>MID(AW25,3,1)</f>
        <v>1</v>
      </c>
      <c r="AX28" s="70" t="str">
        <f>MID(AX25,3,1)</f>
        <v>1</v>
      </c>
      <c r="AY28" s="68"/>
      <c r="AZ28" s="44"/>
      <c r="BA28" s="68" t="s">
        <v>1016</v>
      </c>
      <c r="BB28" s="68" t="s">
        <v>1140</v>
      </c>
      <c r="BC28" s="70" t="str">
        <f>MID(BC22,6,1)</f>
        <v>1</v>
      </c>
      <c r="BD28" s="70" t="str">
        <f>MID(BD22,6,1)</f>
        <v>1</v>
      </c>
      <c r="BE28" s="179"/>
      <c r="BF28" s="44"/>
      <c r="BG28" s="44"/>
      <c r="BH28" s="44"/>
      <c r="BI28" s="44"/>
      <c r="BJ28" s="66" t="s">
        <v>1141</v>
      </c>
      <c r="BK28" s="68" t="s">
        <v>1142</v>
      </c>
      <c r="BL28" s="70" t="str">
        <f>MID(BL23,5,1)</f>
        <v>1</v>
      </c>
      <c r="BM28" s="70" t="str">
        <f>MID(BM23,5,1)</f>
        <v>1</v>
      </c>
      <c r="BN28" s="68"/>
      <c r="BO28" s="44"/>
      <c r="BP28" s="44"/>
      <c r="BQ28" s="44"/>
      <c r="BR28" s="44"/>
      <c r="BS28" s="44"/>
      <c r="BT28" s="44"/>
      <c r="BU28" s="44"/>
      <c r="BV28" s="44"/>
      <c r="BW28" s="66" t="s">
        <v>1143</v>
      </c>
      <c r="BX28" s="68" t="s">
        <v>1144</v>
      </c>
      <c r="BY28" s="70">
        <v>1</v>
      </c>
      <c r="BZ28" s="70" t="str">
        <f>MID(BZ26,7,1)</f>
        <v>1</v>
      </c>
      <c r="CA28" s="68"/>
      <c r="CB28" s="44"/>
      <c r="CC28" s="70" t="s">
        <v>1145</v>
      </c>
      <c r="CD28" s="68" t="s">
        <v>1146</v>
      </c>
    </row>
    <row r="29" spans="1:82" ht="14.5" x14ac:dyDescent="0.3">
      <c r="A29" s="44" t="s">
        <v>2052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8" t="s">
        <v>1147</v>
      </c>
      <c r="AM29" s="68" t="s">
        <v>1148</v>
      </c>
      <c r="AN29" s="70"/>
      <c r="AO29" s="70"/>
      <c r="AP29" s="68"/>
      <c r="AQ29" s="44"/>
      <c r="AR29" s="44"/>
      <c r="AS29" s="44"/>
      <c r="AT29" s="44"/>
      <c r="AU29" s="68" t="s">
        <v>1149</v>
      </c>
      <c r="AV29" s="75" t="s">
        <v>1150</v>
      </c>
      <c r="AW29" s="70" t="str">
        <f>MID(AW25,4,1)</f>
        <v>1</v>
      </c>
      <c r="AX29" s="70" t="str">
        <f>MID(AX25,4,1)</f>
        <v>1</v>
      </c>
      <c r="AY29" s="68"/>
      <c r="AZ29" s="44"/>
      <c r="BA29" s="68" t="s">
        <v>1024</v>
      </c>
      <c r="BB29" s="68" t="s">
        <v>1151</v>
      </c>
      <c r="BC29" s="70" t="str">
        <f>MID(BC22,7,1)</f>
        <v>0</v>
      </c>
      <c r="BD29" s="70" t="str">
        <f>MID(BD22,7,1)</f>
        <v>0</v>
      </c>
      <c r="BE29" s="179"/>
      <c r="BF29" s="44"/>
      <c r="BG29" s="44"/>
      <c r="BH29" s="44"/>
      <c r="BI29" s="44"/>
      <c r="BJ29" s="66" t="s">
        <v>1152</v>
      </c>
      <c r="BK29" s="68" t="s">
        <v>1153</v>
      </c>
      <c r="BL29" s="70" t="str">
        <f>MID(BL23,6,1)</f>
        <v>0</v>
      </c>
      <c r="BM29" s="70" t="str">
        <f>MID(BM23,6,1)</f>
        <v>0</v>
      </c>
      <c r="BN29" s="68"/>
      <c r="BO29" s="44"/>
      <c r="BP29" s="44"/>
      <c r="BQ29" s="68"/>
      <c r="BR29" s="67" t="s">
        <v>75</v>
      </c>
      <c r="BS29" s="4" t="s">
        <v>19</v>
      </c>
      <c r="BT29" s="4" t="s">
        <v>2</v>
      </c>
      <c r="BU29" s="18" t="s">
        <v>393</v>
      </c>
      <c r="BV29" s="44"/>
      <c r="BW29" s="66" t="s">
        <v>1154</v>
      </c>
      <c r="BX29" s="68" t="s">
        <v>1155</v>
      </c>
      <c r="BY29" s="70">
        <v>1</v>
      </c>
      <c r="BZ29" s="70" t="str">
        <f>MID(BZ26,8,1)</f>
        <v>1</v>
      </c>
      <c r="CA29" s="68"/>
      <c r="CB29" s="44"/>
      <c r="CC29" s="70" t="s">
        <v>1156</v>
      </c>
      <c r="CD29" s="68" t="s">
        <v>1157</v>
      </c>
    </row>
    <row r="30" spans="1:82" ht="14.5" x14ac:dyDescent="0.3">
      <c r="A30" s="44" t="s">
        <v>2053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10" t="s">
        <v>1158</v>
      </c>
      <c r="AM30" s="71" t="s">
        <v>1083</v>
      </c>
      <c r="AN30" s="70">
        <v>10</v>
      </c>
      <c r="AO30" s="70" t="str">
        <f>TEXT(Z2,"00000000")</f>
        <v>00000011</v>
      </c>
      <c r="AP30" s="68"/>
      <c r="AQ30" s="44"/>
      <c r="AR30" s="44"/>
      <c r="AS30" s="44"/>
      <c r="AT30" s="44"/>
      <c r="AU30" s="9" t="s">
        <v>1159</v>
      </c>
      <c r="AV30" s="71" t="s">
        <v>1160</v>
      </c>
      <c r="AW30" s="70" t="str">
        <f>TEXT(11110000,"00000000")</f>
        <v>11110000</v>
      </c>
      <c r="AX30" s="70" t="str">
        <f>TEXT(S4,"00000000")</f>
        <v>11110000</v>
      </c>
      <c r="AY30" s="68"/>
      <c r="AZ30" s="44"/>
      <c r="BA30" s="68" t="s">
        <v>1033</v>
      </c>
      <c r="BB30" s="68" t="s">
        <v>1161</v>
      </c>
      <c r="BC30" s="70" t="str">
        <f>MID(BC22,8,1)</f>
        <v>1</v>
      </c>
      <c r="BD30" s="70" t="str">
        <f>MID(BD22,8,1)</f>
        <v>1</v>
      </c>
      <c r="BE30" s="180"/>
      <c r="BF30" s="44"/>
      <c r="BG30" s="44"/>
      <c r="BH30" s="44"/>
      <c r="BI30" s="44"/>
      <c r="BJ30" s="66" t="s">
        <v>1162</v>
      </c>
      <c r="BK30" s="75" t="s">
        <v>1163</v>
      </c>
      <c r="BL30" s="70" t="str">
        <f>MID(BL23,7,1)</f>
        <v>1</v>
      </c>
      <c r="BM30" s="70" t="str">
        <f>MID(BM23,7,1)</f>
        <v>1</v>
      </c>
      <c r="BN30" s="68"/>
      <c r="BO30" s="44"/>
      <c r="BP30" s="44"/>
      <c r="BQ30" s="66"/>
      <c r="BR30" s="3" t="s">
        <v>1164</v>
      </c>
      <c r="BS30" s="70"/>
      <c r="BT30" s="70"/>
      <c r="BU30" s="68"/>
      <c r="BV30" s="44"/>
      <c r="BW30" s="6" t="s">
        <v>1165</v>
      </c>
      <c r="BX30" s="71" t="s">
        <v>1166</v>
      </c>
      <c r="BY30" s="70" t="str">
        <f>TEXT(0,"00000000")</f>
        <v>00000000</v>
      </c>
      <c r="BZ30" s="70" t="str">
        <f>AB12</f>
        <v>00000000</v>
      </c>
      <c r="CA30" s="72" t="str">
        <f>IF(BIN2DEC(BZ30)&gt;0,"!!!!CRC ERROR!!!","link stable")</f>
        <v>link stable</v>
      </c>
      <c r="CB30" s="44"/>
      <c r="CC30" s="70" t="s">
        <v>1167</v>
      </c>
      <c r="CD30" s="68" t="s">
        <v>1168</v>
      </c>
    </row>
    <row r="31" spans="1:82" ht="14.5" x14ac:dyDescent="0.3">
      <c r="A31" s="44" t="s">
        <v>2054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66" t="s">
        <v>1082</v>
      </c>
      <c r="AM31" s="68" t="s">
        <v>1083</v>
      </c>
      <c r="AN31" s="70"/>
      <c r="AO31" s="70" t="str">
        <f>MID(AO30,7,2)</f>
        <v>11</v>
      </c>
      <c r="AP31" s="20" t="str">
        <f>IF(AO31="00","2S",IF(AO31="01","8S",IF(AO31="10","!!!D2S:check UPI cable!!!",IF(AO31="11","4S","ERR"))))</f>
        <v>4S</v>
      </c>
      <c r="AQ31" s="44"/>
      <c r="AR31" s="44"/>
      <c r="AS31" s="44"/>
      <c r="AT31" s="44"/>
      <c r="AU31" s="68" t="s">
        <v>1169</v>
      </c>
      <c r="AV31" s="68" t="s">
        <v>1170</v>
      </c>
      <c r="AW31" s="70" t="str">
        <f>MID(AW30,1,1)</f>
        <v>1</v>
      </c>
      <c r="AX31" s="70" t="str">
        <f>MID(AX30,1,1)</f>
        <v>1</v>
      </c>
      <c r="AY31" s="68"/>
      <c r="AZ31" s="44"/>
      <c r="BA31" s="181" t="s">
        <v>1171</v>
      </c>
      <c r="BB31" s="181"/>
      <c r="BC31" s="181"/>
      <c r="BD31" s="181"/>
      <c r="BE31" s="181"/>
      <c r="BF31" s="44"/>
      <c r="BG31" s="44"/>
      <c r="BH31" s="44"/>
      <c r="BI31" s="44"/>
      <c r="BJ31" s="66" t="s">
        <v>1172</v>
      </c>
      <c r="BK31" s="75" t="s">
        <v>1173</v>
      </c>
      <c r="BL31" s="70" t="str">
        <f>MID(BL23,8,1)</f>
        <v>1</v>
      </c>
      <c r="BM31" s="70" t="str">
        <f>MID(BM23,8,1)</f>
        <v>1</v>
      </c>
      <c r="BN31" s="68"/>
      <c r="BO31" s="44"/>
      <c r="BP31" s="44"/>
      <c r="BQ31" s="21" t="s">
        <v>1174</v>
      </c>
      <c r="BR31" s="68" t="s">
        <v>1175</v>
      </c>
      <c r="BS31" s="70" t="str">
        <f>TEXT(0,"00000000")</f>
        <v>00000000</v>
      </c>
      <c r="BT31" s="70" t="str">
        <f>Z11</f>
        <v>00000000</v>
      </c>
      <c r="BU31" s="68"/>
      <c r="BV31" s="44"/>
      <c r="BW31" s="6" t="s">
        <v>1176</v>
      </c>
      <c r="BX31" s="71" t="s">
        <v>1177</v>
      </c>
      <c r="BY31" s="70" t="s">
        <v>1178</v>
      </c>
      <c r="BZ31" s="70" t="str">
        <f>AC12</f>
        <v>01100110</v>
      </c>
      <c r="CA31" s="72" t="str">
        <f>IF(BIN2DEC(BZ31)&gt;0,"link stable","!!!!check CRC!!!")</f>
        <v>link stable</v>
      </c>
      <c r="CB31" s="44"/>
      <c r="CC31" s="70" t="s">
        <v>1179</v>
      </c>
      <c r="CD31" s="68" t="s">
        <v>1180</v>
      </c>
    </row>
    <row r="32" spans="1:82" ht="14.5" x14ac:dyDescent="0.3">
      <c r="A32" s="44" t="s">
        <v>2055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68" t="s">
        <v>1181</v>
      </c>
      <c r="AV32" s="68" t="s">
        <v>1182</v>
      </c>
      <c r="AW32" s="70" t="str">
        <f>MID(AW30,2,1)</f>
        <v>1</v>
      </c>
      <c r="AX32" s="70" t="str">
        <f>MID(AX30,2,1)</f>
        <v>1</v>
      </c>
      <c r="AY32" s="68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66" t="s">
        <v>1183</v>
      </c>
      <c r="BR32" s="75" t="s">
        <v>1184</v>
      </c>
      <c r="BS32" s="70">
        <v>0</v>
      </c>
      <c r="BT32" s="70" t="str">
        <f>MID(BT31,1,1)</f>
        <v>0</v>
      </c>
      <c r="BU32" s="68"/>
      <c r="BV32" s="44"/>
      <c r="BW32" s="6" t="s">
        <v>1185</v>
      </c>
      <c r="BX32" s="71" t="s">
        <v>1186</v>
      </c>
      <c r="BY32" s="70" t="str">
        <f>TEXT(0,"00000000")</f>
        <v>00000000</v>
      </c>
      <c r="BZ32" s="70" t="str">
        <f>AD12</f>
        <v>00000000</v>
      </c>
      <c r="CA32" s="72" t="str">
        <f>IF(BIN2DEC(BZ32)&gt;0,"!!!!CRC ERROR!!!","link stable")</f>
        <v>link stable</v>
      </c>
      <c r="CB32" s="44"/>
      <c r="CC32" s="70" t="s">
        <v>1187</v>
      </c>
      <c r="CD32" s="68" t="s">
        <v>1188</v>
      </c>
    </row>
    <row r="33" spans="1:82" ht="14.5" x14ac:dyDescent="0.3">
      <c r="A33" s="44" t="s">
        <v>2021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66"/>
      <c r="AM33" s="67" t="s">
        <v>75</v>
      </c>
      <c r="AN33" s="4" t="s">
        <v>19</v>
      </c>
      <c r="AO33" s="4" t="s">
        <v>2</v>
      </c>
      <c r="AP33" s="4" t="s">
        <v>866</v>
      </c>
      <c r="AQ33" s="44"/>
      <c r="AR33" s="44"/>
      <c r="AS33" s="44"/>
      <c r="AT33" s="44"/>
      <c r="AU33" s="68" t="s">
        <v>1189</v>
      </c>
      <c r="AV33" s="68" t="s">
        <v>1190</v>
      </c>
      <c r="AW33" s="70" t="str">
        <f>MID(AW30,3,1)</f>
        <v>1</v>
      </c>
      <c r="AX33" s="70" t="str">
        <f>MID(AX30,3,1)</f>
        <v>1</v>
      </c>
      <c r="AY33" s="68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68"/>
      <c r="BK33" s="67" t="s">
        <v>75</v>
      </c>
      <c r="BL33" s="4" t="s">
        <v>19</v>
      </c>
      <c r="BM33" s="4" t="s">
        <v>2</v>
      </c>
      <c r="BN33" s="18" t="s">
        <v>393</v>
      </c>
      <c r="BO33" s="44"/>
      <c r="BP33" s="44"/>
      <c r="BQ33" s="66" t="s">
        <v>1191</v>
      </c>
      <c r="BR33" s="75" t="s">
        <v>1192</v>
      </c>
      <c r="BS33" s="70">
        <v>0</v>
      </c>
      <c r="BT33" s="70" t="str">
        <f>MID(BT31,2,1)</f>
        <v>0</v>
      </c>
      <c r="BU33" s="68"/>
      <c r="BV33" s="44"/>
      <c r="BW33" s="6" t="s">
        <v>1193</v>
      </c>
      <c r="BX33" s="71" t="s">
        <v>1194</v>
      </c>
      <c r="BY33" s="70" t="s">
        <v>1178</v>
      </c>
      <c r="BZ33" s="70" t="str">
        <f>AE12</f>
        <v>10011011</v>
      </c>
      <c r="CA33" s="72" t="str">
        <f>IF(BIN2DEC(BZ33)&gt;0,"link stable","!!!!check CRC!!!")</f>
        <v>link stable</v>
      </c>
      <c r="CB33" s="44"/>
      <c r="CC33" s="70" t="s">
        <v>1195</v>
      </c>
      <c r="CD33" s="68" t="s">
        <v>1196</v>
      </c>
    </row>
    <row r="34" spans="1:82" ht="14.5" x14ac:dyDescent="0.3">
      <c r="A34" s="44" t="s">
        <v>584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66"/>
      <c r="AM34" s="3" t="s">
        <v>1197</v>
      </c>
      <c r="AN34" s="70"/>
      <c r="AO34" s="70"/>
      <c r="AP34" s="68"/>
      <c r="AQ34" s="44"/>
      <c r="AR34" s="44"/>
      <c r="AS34" s="44"/>
      <c r="AT34" s="44"/>
      <c r="AU34" s="68" t="s">
        <v>1198</v>
      </c>
      <c r="AV34" s="68" t="s">
        <v>1199</v>
      </c>
      <c r="AW34" s="70" t="str">
        <f>MID(AW30,4,1)</f>
        <v>1</v>
      </c>
      <c r="AX34" s="70" t="str">
        <f>MID(AX30,4,1)</f>
        <v>1</v>
      </c>
      <c r="AY34" s="68"/>
      <c r="AZ34" s="44"/>
      <c r="BA34" s="68"/>
      <c r="BB34" s="67" t="s">
        <v>75</v>
      </c>
      <c r="BC34" s="68"/>
      <c r="BD34" s="68"/>
      <c r="BE34" s="68"/>
      <c r="BF34" s="44"/>
      <c r="BG34" s="44"/>
      <c r="BH34" s="44"/>
      <c r="BI34" s="44"/>
      <c r="BJ34" s="68"/>
      <c r="BK34" s="3"/>
      <c r="BL34" s="70"/>
      <c r="BM34" s="70"/>
      <c r="BN34" s="68"/>
      <c r="BO34" s="44"/>
      <c r="BP34" s="44"/>
      <c r="BQ34" s="66" t="s">
        <v>1200</v>
      </c>
      <c r="BR34" s="75" t="s">
        <v>1201</v>
      </c>
      <c r="BS34" s="70">
        <v>0</v>
      </c>
      <c r="BT34" s="70" t="str">
        <f>MID(BT31,3,1)</f>
        <v>0</v>
      </c>
      <c r="BU34" s="68"/>
      <c r="BV34" s="44"/>
      <c r="BW34" s="6" t="s">
        <v>1202</v>
      </c>
      <c r="BX34" s="71" t="s">
        <v>1203</v>
      </c>
      <c r="BY34" s="70" t="str">
        <f>TEXT(0,"00000001")</f>
        <v>00000001</v>
      </c>
      <c r="BZ34" s="70" t="str">
        <f>AF12</f>
        <v>00000001</v>
      </c>
      <c r="CA34" s="68"/>
      <c r="CB34" s="44"/>
      <c r="CC34" s="70" t="s">
        <v>1204</v>
      </c>
      <c r="CD34" s="68" t="s">
        <v>1205</v>
      </c>
    </row>
    <row r="35" spans="1:82" ht="14.5" x14ac:dyDescent="0.3">
      <c r="A35" s="44" t="s">
        <v>1206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6" t="s">
        <v>1207</v>
      </c>
      <c r="AM35" s="71" t="s">
        <v>1208</v>
      </c>
      <c r="AN35" s="70">
        <v>11111111</v>
      </c>
      <c r="AO35" s="70" t="str">
        <f>TEXT(AB2,"00000000")</f>
        <v>11111111</v>
      </c>
      <c r="AP35" s="68"/>
      <c r="AQ35" s="44"/>
      <c r="AR35" s="44"/>
      <c r="AS35" s="44"/>
      <c r="AT35" s="44"/>
      <c r="AU35" s="9" t="s">
        <v>1209</v>
      </c>
      <c r="AV35" s="71" t="s">
        <v>1210</v>
      </c>
      <c r="AW35" s="70" t="str">
        <f>TEXT(11110000,"00000000")</f>
        <v>11110000</v>
      </c>
      <c r="AX35" s="70" t="str">
        <f>TEXT(T4,"00000000")</f>
        <v>11110000</v>
      </c>
      <c r="AY35" s="68"/>
      <c r="AZ35" s="44"/>
      <c r="BA35" s="80"/>
      <c r="BB35" s="44" t="s">
        <v>1211</v>
      </c>
      <c r="BC35" s="30" t="s">
        <v>19</v>
      </c>
      <c r="BD35" s="30" t="s">
        <v>2</v>
      </c>
      <c r="BE35" s="108" t="s">
        <v>393</v>
      </c>
      <c r="BF35" s="44"/>
      <c r="BG35" s="44"/>
      <c r="BH35" s="44"/>
      <c r="BI35" s="44"/>
      <c r="BJ35" s="6" t="s">
        <v>1212</v>
      </c>
      <c r="BK35" s="71"/>
      <c r="BL35" s="70" t="str">
        <f>TEXT(0,"11001111")</f>
        <v>11001111</v>
      </c>
      <c r="BM35" s="70" t="str">
        <f>T10</f>
        <v>11001111</v>
      </c>
      <c r="BN35" s="68"/>
      <c r="BO35" s="44"/>
      <c r="BP35" s="44"/>
      <c r="BQ35" s="66" t="s">
        <v>1213</v>
      </c>
      <c r="BR35" s="75">
        <v>0</v>
      </c>
      <c r="BS35" s="70">
        <v>0</v>
      </c>
      <c r="BT35" s="70" t="str">
        <f>MID(BT31,4,1)</f>
        <v>0</v>
      </c>
      <c r="BU35" s="68"/>
      <c r="BV35" s="44"/>
      <c r="BW35" s="66" t="s">
        <v>1214</v>
      </c>
      <c r="BX35" s="68" t="s">
        <v>1215</v>
      </c>
      <c r="BY35" s="70">
        <v>0</v>
      </c>
      <c r="BZ35" s="70" t="str">
        <f>MID(BZ34,6,1)</f>
        <v>0</v>
      </c>
      <c r="CA35" s="68"/>
      <c r="CB35" s="44"/>
      <c r="CC35" s="70" t="s">
        <v>1216</v>
      </c>
      <c r="CD35" s="68" t="s">
        <v>1217</v>
      </c>
    </row>
    <row r="36" spans="1:82" ht="14.5" x14ac:dyDescent="0.3">
      <c r="A36" s="44" t="s">
        <v>276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8" t="s">
        <v>1218</v>
      </c>
      <c r="AM36" s="68" t="s">
        <v>1219</v>
      </c>
      <c r="AN36" s="70">
        <v>1</v>
      </c>
      <c r="AO36" s="70" t="str">
        <f>MID(AO35,1,1)</f>
        <v>1</v>
      </c>
      <c r="AP36" s="68" t="str">
        <f>IF(AO36=0,"Check iCPU_AUX_EN","Pass")</f>
        <v>Pass</v>
      </c>
      <c r="AQ36" s="44"/>
      <c r="AR36" s="44"/>
      <c r="AS36" s="44"/>
      <c r="AT36" s="44"/>
      <c r="AU36" s="68" t="s">
        <v>1220</v>
      </c>
      <c r="AV36" s="68" t="s">
        <v>1221</v>
      </c>
      <c r="AW36" s="70" t="str">
        <f>MID(AW35,1,1)</f>
        <v>1</v>
      </c>
      <c r="AX36" s="70" t="str">
        <f>MID(AX35,1,1)</f>
        <v>1</v>
      </c>
      <c r="AY36" s="68"/>
      <c r="AZ36" s="44"/>
      <c r="BA36" s="9" t="s">
        <v>1222</v>
      </c>
      <c r="BB36" s="71" t="s">
        <v>1223</v>
      </c>
      <c r="BC36" s="68" t="str">
        <f>TEXT(10000000,"00000000")</f>
        <v>10000000</v>
      </c>
      <c r="BD36" s="68" t="str">
        <f>S6</f>
        <v>10000000</v>
      </c>
      <c r="BE36" s="68"/>
      <c r="BF36" s="44"/>
      <c r="BG36" s="44"/>
      <c r="BH36" s="44"/>
      <c r="BI36" s="44"/>
      <c r="BJ36" s="66" t="s">
        <v>1224</v>
      </c>
      <c r="BK36" s="68" t="s">
        <v>1225</v>
      </c>
      <c r="BL36" s="70" t="str">
        <f>MID(BL35,1,1)</f>
        <v>1</v>
      </c>
      <c r="BM36" s="70" t="str">
        <f>MID(BM35,1,1)</f>
        <v>1</v>
      </c>
      <c r="BN36" s="68"/>
      <c r="BO36" s="44"/>
      <c r="BP36" s="44"/>
      <c r="BQ36" s="66" t="s">
        <v>1226</v>
      </c>
      <c r="BR36" s="75" t="s">
        <v>1227</v>
      </c>
      <c r="BS36" s="70">
        <v>0</v>
      </c>
      <c r="BT36" s="70" t="str">
        <f>MID(BT31,5,1)</f>
        <v>0</v>
      </c>
      <c r="BU36" s="68"/>
      <c r="BV36" s="44"/>
      <c r="BW36" s="66" t="s">
        <v>1228</v>
      </c>
      <c r="BX36" s="68" t="s">
        <v>1229</v>
      </c>
      <c r="BY36" s="70">
        <v>1</v>
      </c>
      <c r="BZ36" s="70" t="str">
        <f>MID(BZ34,8,1)</f>
        <v>1</v>
      </c>
      <c r="CA36" s="68"/>
      <c r="CB36" s="44"/>
      <c r="CC36" s="70" t="s">
        <v>1230</v>
      </c>
      <c r="CD36" s="68" t="s">
        <v>1231</v>
      </c>
    </row>
    <row r="37" spans="1:82" ht="14.5" x14ac:dyDescent="0.3">
      <c r="A37" s="44" t="s">
        <v>2056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66" t="s">
        <v>1232</v>
      </c>
      <c r="AM37" s="68" t="s">
        <v>1233</v>
      </c>
      <c r="AN37" s="70">
        <v>1</v>
      </c>
      <c r="AO37" s="70" t="str">
        <f>MID(AO35,2,1)</f>
        <v>1</v>
      </c>
      <c r="AP37" s="68" t="str">
        <f>IF(AO37=0,"Check iCPU_AUX_EN","Pass")</f>
        <v>Pass</v>
      </c>
      <c r="AQ37" s="44"/>
      <c r="AR37" s="44"/>
      <c r="AS37" s="44"/>
      <c r="AT37" s="44"/>
      <c r="AU37" s="68" t="s">
        <v>1234</v>
      </c>
      <c r="AV37" s="68" t="s">
        <v>1235</v>
      </c>
      <c r="AW37" s="70" t="str">
        <f>MID(AW35,2,1)</f>
        <v>1</v>
      </c>
      <c r="AX37" s="70" t="str">
        <f>MID(AX35,2,1)</f>
        <v>1</v>
      </c>
      <c r="AY37" s="68"/>
      <c r="AZ37" s="44"/>
      <c r="BA37" s="31" t="s">
        <v>1236</v>
      </c>
      <c r="BB37" s="68" t="s">
        <v>1237</v>
      </c>
      <c r="BC37" s="70" t="str">
        <f>MID(BC36,1,1)</f>
        <v>1</v>
      </c>
      <c r="BD37" s="70" t="str">
        <f>MID(BD36,1,1)</f>
        <v>1</v>
      </c>
      <c r="BE37" s="68"/>
      <c r="BF37" s="44"/>
      <c r="BG37" s="44"/>
      <c r="BH37" s="44"/>
      <c r="BI37" s="44"/>
      <c r="BJ37" s="66" t="s">
        <v>1238</v>
      </c>
      <c r="BK37" s="68" t="s">
        <v>1239</v>
      </c>
      <c r="BL37" s="70" t="str">
        <f>MID(BL35,2,1)</f>
        <v>1</v>
      </c>
      <c r="BM37" s="70" t="str">
        <f>MID(BM35,2,1)</f>
        <v>1</v>
      </c>
      <c r="BN37" s="68"/>
      <c r="BO37" s="44"/>
      <c r="BP37" s="44"/>
      <c r="BQ37" s="66" t="s">
        <v>1240</v>
      </c>
      <c r="BR37" s="75" t="s">
        <v>1241</v>
      </c>
      <c r="BS37" s="70">
        <v>0</v>
      </c>
      <c r="BT37" s="70" t="str">
        <f>MID(BT31,6,1)</f>
        <v>0</v>
      </c>
      <c r="BU37" s="68"/>
      <c r="BV37" s="44"/>
      <c r="BW37" s="44"/>
      <c r="BX37" s="44"/>
      <c r="BY37" s="44"/>
      <c r="BZ37" s="44"/>
      <c r="CA37" s="44"/>
      <c r="CB37" s="44"/>
      <c r="CC37" s="70" t="s">
        <v>1242</v>
      </c>
      <c r="CD37" s="68" t="s">
        <v>1243</v>
      </c>
    </row>
    <row r="38" spans="1:82" ht="14.5" x14ac:dyDescent="0.3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66" t="s">
        <v>1244</v>
      </c>
      <c r="AM38" s="68" t="s">
        <v>1245</v>
      </c>
      <c r="AN38" s="70">
        <v>1</v>
      </c>
      <c r="AO38" s="70" t="str">
        <f>MID(AO35,3,1)</f>
        <v>1</v>
      </c>
      <c r="AP38" s="68"/>
      <c r="AQ38" s="44"/>
      <c r="AR38" s="44"/>
      <c r="AS38" s="44"/>
      <c r="AT38" s="44"/>
      <c r="AU38" s="68" t="s">
        <v>1246</v>
      </c>
      <c r="AV38" s="68" t="s">
        <v>1247</v>
      </c>
      <c r="AW38" s="70" t="str">
        <f>MID(AW35,3,1)</f>
        <v>1</v>
      </c>
      <c r="AX38" s="70" t="str">
        <f>MID(AX35,3,1)</f>
        <v>1</v>
      </c>
      <c r="AY38" s="68"/>
      <c r="AZ38" s="44"/>
      <c r="BA38" s="109"/>
      <c r="BB38" s="44"/>
      <c r="BC38" s="44"/>
      <c r="BD38" s="44"/>
      <c r="BE38" s="44"/>
      <c r="BF38" s="44"/>
      <c r="BG38" s="44"/>
      <c r="BH38" s="44"/>
      <c r="BI38" s="44"/>
      <c r="BJ38" s="66" t="s">
        <v>1248</v>
      </c>
      <c r="BK38" s="75">
        <v>0</v>
      </c>
      <c r="BL38" s="70" t="str">
        <f>MID(BL35,3,1)</f>
        <v>0</v>
      </c>
      <c r="BM38" s="70" t="str">
        <f>MID(BM35,3,1)</f>
        <v>0</v>
      </c>
      <c r="BN38" s="68"/>
      <c r="BO38" s="44"/>
      <c r="BP38" s="44"/>
      <c r="BQ38" s="66" t="s">
        <v>1249</v>
      </c>
      <c r="BR38" s="75" t="s">
        <v>1250</v>
      </c>
      <c r="BS38" s="70">
        <v>0</v>
      </c>
      <c r="BT38" s="70" t="str">
        <f>MID(BT31,7,1)</f>
        <v>0</v>
      </c>
      <c r="BU38" s="68"/>
      <c r="BV38" s="44"/>
      <c r="BW38" s="68"/>
      <c r="BX38" s="67" t="s">
        <v>75</v>
      </c>
      <c r="BY38" s="4" t="s">
        <v>19</v>
      </c>
      <c r="BZ38" s="4" t="s">
        <v>2</v>
      </c>
      <c r="CA38" s="18" t="s">
        <v>393</v>
      </c>
      <c r="CB38" s="44"/>
      <c r="CC38" s="70" t="s">
        <v>1251</v>
      </c>
      <c r="CD38" s="68" t="s">
        <v>1252</v>
      </c>
    </row>
    <row r="39" spans="1:82" ht="14.5" customHeight="1" x14ac:dyDescent="0.3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66" t="s">
        <v>1253</v>
      </c>
      <c r="AM39" s="68" t="s">
        <v>1254</v>
      </c>
      <c r="AN39" s="70">
        <v>1</v>
      </c>
      <c r="AO39" s="70" t="str">
        <f>MID(AO35,4,1)</f>
        <v>1</v>
      </c>
      <c r="AP39" s="68"/>
      <c r="AQ39" s="44"/>
      <c r="AR39" s="44"/>
      <c r="AS39" s="44"/>
      <c r="AT39" s="44"/>
      <c r="AU39" s="68" t="s">
        <v>1255</v>
      </c>
      <c r="AV39" s="68" t="s">
        <v>1256</v>
      </c>
      <c r="AW39" s="70" t="str">
        <f>MID(AW35,4,1)</f>
        <v>1</v>
      </c>
      <c r="AX39" s="70" t="str">
        <f>MID(AX35,4,1)</f>
        <v>1</v>
      </c>
      <c r="AY39" s="68"/>
      <c r="AZ39" s="44"/>
      <c r="BA39" s="68"/>
      <c r="BB39" s="67" t="s">
        <v>75</v>
      </c>
      <c r="BC39" s="68"/>
      <c r="BD39" s="68"/>
      <c r="BE39" s="68"/>
      <c r="BF39" s="44"/>
      <c r="BG39" s="44"/>
      <c r="BH39" s="44"/>
      <c r="BI39" s="44"/>
      <c r="BJ39" s="66" t="s">
        <v>1257</v>
      </c>
      <c r="BK39" s="75">
        <v>0</v>
      </c>
      <c r="BL39" s="70" t="str">
        <f>MID(BL35,4,1)</f>
        <v>0</v>
      </c>
      <c r="BM39" s="70" t="str">
        <f>MID(BM35,4,1)</f>
        <v>0</v>
      </c>
      <c r="BN39" s="68"/>
      <c r="BO39" s="44"/>
      <c r="BP39" s="44"/>
      <c r="BQ39" s="66" t="s">
        <v>1258</v>
      </c>
      <c r="BR39" s="75" t="s">
        <v>1259</v>
      </c>
      <c r="BS39" s="70">
        <v>0</v>
      </c>
      <c r="BT39" s="70" t="str">
        <f>MID(BT31,8,1)</f>
        <v>0</v>
      </c>
      <c r="BU39" s="68"/>
      <c r="BV39" s="44"/>
      <c r="BW39" s="68"/>
      <c r="BX39" s="3"/>
      <c r="BY39" s="70"/>
      <c r="BZ39" s="70"/>
      <c r="CA39" s="68"/>
      <c r="CB39" s="44"/>
      <c r="CC39" s="70" t="s">
        <v>1260</v>
      </c>
      <c r="CD39" s="68" t="s">
        <v>1261</v>
      </c>
    </row>
    <row r="40" spans="1:82" ht="14.5" x14ac:dyDescent="0.3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66" t="s">
        <v>1262</v>
      </c>
      <c r="AM40" s="68" t="s">
        <v>1263</v>
      </c>
      <c r="AN40" s="70">
        <v>1</v>
      </c>
      <c r="AO40" s="70" t="str">
        <f>MID(AO35,5,1)</f>
        <v>1</v>
      </c>
      <c r="AP40" s="68"/>
      <c r="AQ40" s="44"/>
      <c r="AR40" s="44"/>
      <c r="AS40" s="44"/>
      <c r="AT40" s="44"/>
      <c r="AU40" s="9" t="s">
        <v>1264</v>
      </c>
      <c r="AV40" s="71" t="s">
        <v>1265</v>
      </c>
      <c r="AW40" s="70" t="str">
        <f>TEXT(11110000,"00000000")</f>
        <v>11110000</v>
      </c>
      <c r="AX40" s="70" t="str">
        <f>TEXT(U4,"00000000")</f>
        <v>11110000</v>
      </c>
      <c r="AY40" s="68"/>
      <c r="AZ40" s="44"/>
      <c r="BA40" s="68"/>
      <c r="BB40" s="3" t="s">
        <v>1211</v>
      </c>
      <c r="BC40" s="4" t="s">
        <v>19</v>
      </c>
      <c r="BD40" s="4" t="s">
        <v>2</v>
      </c>
      <c r="BE40" s="18" t="s">
        <v>393</v>
      </c>
      <c r="BF40" s="44"/>
      <c r="BG40" s="44"/>
      <c r="BH40" s="44"/>
      <c r="BI40" s="44"/>
      <c r="BJ40" s="66" t="s">
        <v>1266</v>
      </c>
      <c r="BK40" s="68" t="s">
        <v>1267</v>
      </c>
      <c r="BL40" s="70" t="str">
        <f>MID(BL35,5,1)</f>
        <v>1</v>
      </c>
      <c r="BM40" s="70" t="str">
        <f>MID(BM35,5,1)</f>
        <v>1</v>
      </c>
      <c r="BN40" s="68"/>
      <c r="BO40" s="44"/>
      <c r="BP40" s="44"/>
      <c r="BQ40" s="66" t="s">
        <v>1268</v>
      </c>
      <c r="BR40" s="68" t="s">
        <v>1269</v>
      </c>
      <c r="BS40" s="70" t="str">
        <f>TEXT(0,"00000000")</f>
        <v>00000000</v>
      </c>
      <c r="BT40" s="70" t="str">
        <f>AA11</f>
        <v>00000000</v>
      </c>
      <c r="BU40" s="68"/>
      <c r="BV40" s="44"/>
      <c r="BW40" s="6" t="s">
        <v>1270</v>
      </c>
      <c r="BX40" s="71"/>
      <c r="BY40" s="70" t="str">
        <f>TEXT(0,"01101001")</f>
        <v>01101001</v>
      </c>
      <c r="BZ40" s="70" t="str">
        <f>W15</f>
        <v>01101001</v>
      </c>
      <c r="CA40" s="68"/>
      <c r="CB40" s="44"/>
      <c r="CC40" s="70" t="s">
        <v>1271</v>
      </c>
      <c r="CD40" s="68" t="s">
        <v>1272</v>
      </c>
    </row>
    <row r="41" spans="1:82" ht="14.5" x14ac:dyDescent="0.3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66" t="s">
        <v>1273</v>
      </c>
      <c r="AM41" s="68" t="s">
        <v>1274</v>
      </c>
      <c r="AN41" s="70">
        <v>1</v>
      </c>
      <c r="AO41" s="70" t="str">
        <f>MID(AO35,6,1)</f>
        <v>1</v>
      </c>
      <c r="AP41" s="68"/>
      <c r="AQ41" s="44"/>
      <c r="AR41" s="44"/>
      <c r="AS41" s="44"/>
      <c r="AT41" s="44"/>
      <c r="AU41" s="68" t="s">
        <v>1275</v>
      </c>
      <c r="AV41" s="68" t="s">
        <v>1276</v>
      </c>
      <c r="AW41" s="70" t="str">
        <f>MID(AW40,1,1)</f>
        <v>1</v>
      </c>
      <c r="AX41" s="70" t="str">
        <f>MID(AX40,1,1)</f>
        <v>1</v>
      </c>
      <c r="AY41" s="68"/>
      <c r="AZ41" s="44"/>
      <c r="BA41" s="9" t="s">
        <v>1277</v>
      </c>
      <c r="BB41" s="71" t="s">
        <v>1278</v>
      </c>
      <c r="BC41" s="70" t="str">
        <f>TEXT(111111,"00000000")</f>
        <v>00111111</v>
      </c>
      <c r="BD41" s="70" t="str">
        <f>S7</f>
        <v>00111111</v>
      </c>
      <c r="BE41" s="68"/>
      <c r="BF41" s="44"/>
      <c r="BG41" s="44"/>
      <c r="BH41" s="44"/>
      <c r="BI41" s="44"/>
      <c r="BJ41" s="66" t="s">
        <v>1279</v>
      </c>
      <c r="BK41" s="68" t="s">
        <v>1280</v>
      </c>
      <c r="BL41" s="70" t="str">
        <f>MID(BL35,6,1)</f>
        <v>1</v>
      </c>
      <c r="BM41" s="70" t="str">
        <f>MID(BM35,6,1)</f>
        <v>1</v>
      </c>
      <c r="BN41" s="68"/>
      <c r="BO41" s="44"/>
      <c r="BP41" s="44"/>
      <c r="BQ41" s="66" t="s">
        <v>1281</v>
      </c>
      <c r="BR41" s="68" t="s">
        <v>1282</v>
      </c>
      <c r="BS41" s="70">
        <v>0</v>
      </c>
      <c r="BT41" s="70" t="str">
        <f>MID(BT40,1,1)</f>
        <v>0</v>
      </c>
      <c r="BU41" s="68"/>
      <c r="BV41" s="44"/>
      <c r="BW41" s="66" t="s">
        <v>1283</v>
      </c>
      <c r="BX41" s="68" t="s">
        <v>1284</v>
      </c>
      <c r="BY41" s="70" t="str">
        <f>MID(BY40,1,1)</f>
        <v>0</v>
      </c>
      <c r="BZ41" s="70" t="str">
        <f>MID(BZ40,1,1)</f>
        <v>0</v>
      </c>
      <c r="CA41" s="68"/>
      <c r="CB41" s="44"/>
      <c r="CC41" s="70" t="s">
        <v>1285</v>
      </c>
      <c r="CD41" s="68" t="s">
        <v>1286</v>
      </c>
    </row>
    <row r="42" spans="1:82" ht="14.5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66" t="s">
        <v>1287</v>
      </c>
      <c r="AM42" s="68" t="s">
        <v>1288</v>
      </c>
      <c r="AN42" s="70">
        <v>1</v>
      </c>
      <c r="AO42" s="70" t="str">
        <f>MID(AO35,7,1)</f>
        <v>1</v>
      </c>
      <c r="AP42" s="68"/>
      <c r="AQ42" s="44"/>
      <c r="AR42" s="44"/>
      <c r="AS42" s="44"/>
      <c r="AT42" s="44"/>
      <c r="AU42" s="68" t="s">
        <v>1289</v>
      </c>
      <c r="AV42" s="68" t="s">
        <v>1290</v>
      </c>
      <c r="AW42" s="70" t="str">
        <f>MID(AW40,2,1)</f>
        <v>1</v>
      </c>
      <c r="AX42" s="70" t="str">
        <f>MID(AX40,2,1)</f>
        <v>1</v>
      </c>
      <c r="AY42" s="68"/>
      <c r="AZ42" s="44"/>
      <c r="BA42" s="31" t="s">
        <v>1291</v>
      </c>
      <c r="BB42" s="44" t="s">
        <v>1292</v>
      </c>
      <c r="BC42" s="70" t="str">
        <f>MID(BC41,1,1)</f>
        <v>0</v>
      </c>
      <c r="BD42" s="70" t="str">
        <f>MID(BD41,1,1)</f>
        <v>0</v>
      </c>
      <c r="BE42" s="68"/>
      <c r="BF42" s="44"/>
      <c r="BG42" s="44"/>
      <c r="BH42" s="44"/>
      <c r="BI42" s="44"/>
      <c r="BJ42" s="66" t="s">
        <v>1293</v>
      </c>
      <c r="BK42" s="75" t="s">
        <v>1294</v>
      </c>
      <c r="BL42" s="70" t="str">
        <f>MID(BL35,7,1)</f>
        <v>1</v>
      </c>
      <c r="BM42" s="70" t="str">
        <f>MID(BM35,7,1)</f>
        <v>1</v>
      </c>
      <c r="BN42" s="68"/>
      <c r="BO42" s="44"/>
      <c r="BP42" s="44"/>
      <c r="BQ42" s="66" t="s">
        <v>1295</v>
      </c>
      <c r="BR42" s="68" t="s">
        <v>1296</v>
      </c>
      <c r="BS42" s="70">
        <v>0</v>
      </c>
      <c r="BT42" s="70" t="str">
        <f>MID(BT40,2,1)</f>
        <v>0</v>
      </c>
      <c r="BU42" s="68"/>
      <c r="BV42" s="44"/>
      <c r="BW42" s="66" t="s">
        <v>1297</v>
      </c>
      <c r="BX42" s="68" t="s">
        <v>1298</v>
      </c>
      <c r="BY42" s="70" t="str">
        <f>MID(BY40,2,1)</f>
        <v>1</v>
      </c>
      <c r="BZ42" s="70" t="str">
        <f>MID(BZ40,2,1)</f>
        <v>1</v>
      </c>
      <c r="CA42" s="68"/>
      <c r="CB42" s="44"/>
      <c r="CC42" s="70" t="s">
        <v>1299</v>
      </c>
      <c r="CD42" s="68" t="s">
        <v>1300</v>
      </c>
    </row>
    <row r="43" spans="1:82" ht="14.5" x14ac:dyDescent="0.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66" t="s">
        <v>1301</v>
      </c>
      <c r="AM43" s="68" t="s">
        <v>1302</v>
      </c>
      <c r="AN43" s="70">
        <v>1</v>
      </c>
      <c r="AO43" s="70" t="str">
        <f>MID(AO35,8,1)</f>
        <v>1</v>
      </c>
      <c r="AP43" s="68"/>
      <c r="AQ43" s="44"/>
      <c r="AR43" s="44"/>
      <c r="AS43" s="44"/>
      <c r="AT43" s="44"/>
      <c r="AU43" s="68" t="s">
        <v>1303</v>
      </c>
      <c r="AV43" s="68" t="s">
        <v>1304</v>
      </c>
      <c r="AW43" s="70" t="str">
        <f>MID(AW40,3,1)</f>
        <v>1</v>
      </c>
      <c r="AX43" s="70" t="str">
        <f>MID(AX40,3,1)</f>
        <v>1</v>
      </c>
      <c r="AY43" s="68"/>
      <c r="AZ43" s="44"/>
      <c r="BA43" s="31" t="s">
        <v>1305</v>
      </c>
      <c r="BB43" s="68" t="s">
        <v>1306</v>
      </c>
      <c r="BC43" s="70" t="str">
        <f>MID(BC41,2,1)</f>
        <v>0</v>
      </c>
      <c r="BD43" s="70" t="str">
        <f>MID(BD41,2,1)</f>
        <v>0</v>
      </c>
      <c r="BE43" s="68"/>
      <c r="BF43" s="44"/>
      <c r="BG43" s="44"/>
      <c r="BH43" s="44"/>
      <c r="BI43" s="44"/>
      <c r="BJ43" s="66" t="s">
        <v>1307</v>
      </c>
      <c r="BK43" s="75" t="s">
        <v>1308</v>
      </c>
      <c r="BL43" s="70" t="str">
        <f>MID(BL35,8,1)</f>
        <v>1</v>
      </c>
      <c r="BM43" s="70" t="str">
        <f>MID(BM35,8,1)</f>
        <v>1</v>
      </c>
      <c r="BN43" s="68"/>
      <c r="BO43" s="44"/>
      <c r="BP43" s="44"/>
      <c r="BQ43" s="66" t="s">
        <v>1309</v>
      </c>
      <c r="BR43" s="68" t="s">
        <v>1310</v>
      </c>
      <c r="BS43" s="70">
        <v>0</v>
      </c>
      <c r="BT43" s="70" t="str">
        <f>MID(BT40,3,1)</f>
        <v>0</v>
      </c>
      <c r="BU43" s="68"/>
      <c r="BV43" s="44"/>
      <c r="BW43" s="66" t="s">
        <v>1311</v>
      </c>
      <c r="BX43" s="75" t="s">
        <v>1312</v>
      </c>
      <c r="BY43" s="70" t="str">
        <f>MID(BY40,3,1)</f>
        <v>1</v>
      </c>
      <c r="BZ43" s="70" t="str">
        <f>MID(BZ40,3,1)</f>
        <v>1</v>
      </c>
      <c r="CA43" s="68"/>
      <c r="CB43" s="44"/>
      <c r="CC43" s="70" t="s">
        <v>1313</v>
      </c>
      <c r="CD43" s="68" t="s">
        <v>1314</v>
      </c>
    </row>
    <row r="44" spans="1:82" ht="14.5" x14ac:dyDescent="0.3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6" t="s">
        <v>1315</v>
      </c>
      <c r="AM44" s="71" t="s">
        <v>1316</v>
      </c>
      <c r="AN44" s="70">
        <v>11111110</v>
      </c>
      <c r="AO44" s="70" t="str">
        <f>TEXT(AC2,"00000000")</f>
        <v>11111110</v>
      </c>
      <c r="AP44" s="68"/>
      <c r="AQ44" s="44"/>
      <c r="AR44" s="44"/>
      <c r="AS44" s="44"/>
      <c r="AT44" s="44"/>
      <c r="AU44" s="68" t="s">
        <v>1317</v>
      </c>
      <c r="AV44" s="68" t="s">
        <v>1318</v>
      </c>
      <c r="AW44" s="70" t="str">
        <f>MID(AW40,4,1)</f>
        <v>1</v>
      </c>
      <c r="AX44" s="70" t="str">
        <f>MID(AX40,4,1)</f>
        <v>1</v>
      </c>
      <c r="AY44" s="68"/>
      <c r="AZ44" s="44"/>
      <c r="BA44" s="31" t="s">
        <v>1319</v>
      </c>
      <c r="BB44" s="68" t="s">
        <v>1320</v>
      </c>
      <c r="BC44" s="70" t="str">
        <f>MID(BC41,3,1)</f>
        <v>1</v>
      </c>
      <c r="BD44" s="70" t="str">
        <f>MID(BD41,3,1)</f>
        <v>1</v>
      </c>
      <c r="BE44" s="68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66" t="s">
        <v>1321</v>
      </c>
      <c r="BR44" s="68" t="s">
        <v>1322</v>
      </c>
      <c r="BS44" s="70">
        <v>0</v>
      </c>
      <c r="BT44" s="70" t="str">
        <f>MID(BT40,4,1)</f>
        <v>0</v>
      </c>
      <c r="BU44" s="68"/>
      <c r="BV44" s="44"/>
      <c r="BW44" s="66" t="s">
        <v>1323</v>
      </c>
      <c r="BX44" s="75" t="s">
        <v>1324</v>
      </c>
      <c r="BY44" s="70" t="str">
        <f>MID(BY40,4,1)</f>
        <v>0</v>
      </c>
      <c r="BZ44" s="70" t="str">
        <f>MID(BZ40,4,1)</f>
        <v>0</v>
      </c>
      <c r="CA44" s="68"/>
      <c r="CB44" s="44"/>
      <c r="CC44" s="70" t="s">
        <v>1325</v>
      </c>
      <c r="CD44" s="68" t="s">
        <v>1326</v>
      </c>
    </row>
    <row r="45" spans="1:82" ht="14.5" x14ac:dyDescent="0.3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66" t="s">
        <v>1327</v>
      </c>
      <c r="AM45" s="68" t="s">
        <v>1328</v>
      </c>
      <c r="AN45" s="70">
        <v>1</v>
      </c>
      <c r="AO45" s="70" t="str">
        <f>MID(AO44,1,1)</f>
        <v>1</v>
      </c>
      <c r="AP45" s="68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31" t="s">
        <v>1329</v>
      </c>
      <c r="BB45" s="68" t="s">
        <v>1330</v>
      </c>
      <c r="BC45" s="70" t="str">
        <f>MID(BC41,4,1)</f>
        <v>1</v>
      </c>
      <c r="BD45" s="70" t="str">
        <f>MID(BD41,4,1)</f>
        <v>1</v>
      </c>
      <c r="BE45" s="68"/>
      <c r="BF45" s="44"/>
      <c r="BG45" s="44"/>
      <c r="BH45" s="44"/>
      <c r="BI45" s="44"/>
      <c r="BJ45" s="68"/>
      <c r="BK45" s="67" t="s">
        <v>75</v>
      </c>
      <c r="BL45" s="4" t="s">
        <v>19</v>
      </c>
      <c r="BM45" s="4" t="s">
        <v>2</v>
      </c>
      <c r="BN45" s="18" t="s">
        <v>393</v>
      </c>
      <c r="BO45" s="44"/>
      <c r="BP45" s="44"/>
      <c r="BQ45" s="66" t="s">
        <v>1331</v>
      </c>
      <c r="BR45" s="68" t="s">
        <v>1332</v>
      </c>
      <c r="BS45" s="70">
        <v>0</v>
      </c>
      <c r="BT45" s="70" t="str">
        <f>MID(BT40,5,1)</f>
        <v>0</v>
      </c>
      <c r="BU45" s="68"/>
      <c r="BV45" s="44"/>
      <c r="BW45" s="66" t="s">
        <v>1333</v>
      </c>
      <c r="BX45" s="68" t="s">
        <v>1334</v>
      </c>
      <c r="BY45" s="70" t="str">
        <f>MID(BY40,5,1)</f>
        <v>1</v>
      </c>
      <c r="BZ45" s="70" t="str">
        <f>MID(BZ40,5,1)</f>
        <v>1</v>
      </c>
      <c r="CA45" s="68"/>
      <c r="CB45" s="44"/>
      <c r="CC45" s="70" t="s">
        <v>1335</v>
      </c>
      <c r="CD45" s="68" t="s">
        <v>1336</v>
      </c>
    </row>
    <row r="46" spans="1:82" ht="14.5" x14ac:dyDescent="0.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66" t="s">
        <v>1337</v>
      </c>
      <c r="AM46" s="68" t="s">
        <v>1338</v>
      </c>
      <c r="AN46" s="70">
        <v>1</v>
      </c>
      <c r="AO46" s="70" t="str">
        <f>MID(AO44,2,1)</f>
        <v>1</v>
      </c>
      <c r="AP46" s="68"/>
      <c r="AQ46" s="44"/>
      <c r="AR46" s="44"/>
      <c r="AS46" s="44"/>
      <c r="AT46" s="44"/>
      <c r="AU46" s="68"/>
      <c r="AV46" s="67" t="s">
        <v>75</v>
      </c>
      <c r="AW46" s="68"/>
      <c r="AX46" s="68"/>
      <c r="AY46" s="68"/>
      <c r="AZ46" s="44"/>
      <c r="BA46" s="31" t="s">
        <v>1339</v>
      </c>
      <c r="BB46" s="68" t="s">
        <v>1340</v>
      </c>
      <c r="BC46" s="70" t="str">
        <f>MID(BC41,5,1)</f>
        <v>1</v>
      </c>
      <c r="BD46" s="70" t="str">
        <f>MID(BD41,5,1)</f>
        <v>1</v>
      </c>
      <c r="BE46" s="68"/>
      <c r="BF46" s="44"/>
      <c r="BG46" s="44"/>
      <c r="BH46" s="44"/>
      <c r="BI46" s="44"/>
      <c r="BJ46" s="68"/>
      <c r="BK46" s="3"/>
      <c r="BL46" s="70"/>
      <c r="BM46" s="70"/>
      <c r="BN46" s="68"/>
      <c r="BO46" s="44"/>
      <c r="BP46" s="44"/>
      <c r="BQ46" s="66" t="s">
        <v>1341</v>
      </c>
      <c r="BR46" s="68" t="s">
        <v>1342</v>
      </c>
      <c r="BS46" s="70">
        <v>0</v>
      </c>
      <c r="BT46" s="70" t="str">
        <f>MID(BT40,6,1)</f>
        <v>0</v>
      </c>
      <c r="BU46" s="68"/>
      <c r="BV46" s="44"/>
      <c r="BW46" s="66" t="s">
        <v>1343</v>
      </c>
      <c r="BX46" s="68" t="s">
        <v>1344</v>
      </c>
      <c r="BY46" s="70" t="str">
        <f>MID(BY40,6,1)</f>
        <v>0</v>
      </c>
      <c r="BZ46" s="70" t="str">
        <f>MID(BZ40,6,1)</f>
        <v>0</v>
      </c>
      <c r="CA46" s="68"/>
      <c r="CB46" s="44"/>
      <c r="CC46" s="70" t="s">
        <v>1345</v>
      </c>
      <c r="CD46" s="68" t="s">
        <v>1346</v>
      </c>
    </row>
    <row r="47" spans="1:82" ht="14.5" x14ac:dyDescent="0.3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66" t="s">
        <v>1347</v>
      </c>
      <c r="AM47" s="68" t="s">
        <v>1348</v>
      </c>
      <c r="AN47" s="70">
        <v>1</v>
      </c>
      <c r="AO47" s="70" t="str">
        <f>MID(AO44,3,1)</f>
        <v>1</v>
      </c>
      <c r="AP47" s="68"/>
      <c r="AQ47" s="44"/>
      <c r="AR47" s="44"/>
      <c r="AS47" s="44"/>
      <c r="AT47" s="44"/>
      <c r="AU47" s="68"/>
      <c r="AV47" s="3" t="s">
        <v>1349</v>
      </c>
      <c r="AW47" s="4" t="s">
        <v>19</v>
      </c>
      <c r="AX47" s="4" t="s">
        <v>2</v>
      </c>
      <c r="AY47" s="18" t="s">
        <v>393</v>
      </c>
      <c r="AZ47" s="44"/>
      <c r="BA47" s="31" t="s">
        <v>1350</v>
      </c>
      <c r="BB47" s="68" t="s">
        <v>1351</v>
      </c>
      <c r="BC47" s="70" t="str">
        <f>MID(BC41,6,1)</f>
        <v>1</v>
      </c>
      <c r="BD47" s="70" t="str">
        <f>MID(BD41,6,1)</f>
        <v>1</v>
      </c>
      <c r="BE47" s="68"/>
      <c r="BF47" s="44"/>
      <c r="BG47" s="44"/>
      <c r="BH47" s="44"/>
      <c r="BI47" s="44"/>
      <c r="BJ47" s="6" t="s">
        <v>1352</v>
      </c>
      <c r="BK47" s="71"/>
      <c r="BL47" s="70" t="str">
        <f>TEXT(0,"11100000")</f>
        <v>11100000</v>
      </c>
      <c r="BM47" s="70" t="str">
        <f>W10</f>
        <v>11100000</v>
      </c>
      <c r="BN47" s="68"/>
      <c r="BO47" s="44"/>
      <c r="BP47" s="44"/>
      <c r="BQ47" s="66" t="s">
        <v>1353</v>
      </c>
      <c r="BR47" s="68" t="s">
        <v>1354</v>
      </c>
      <c r="BS47" s="70">
        <v>0</v>
      </c>
      <c r="BT47" s="70" t="str">
        <f>MID(BT40,7,1)</f>
        <v>0</v>
      </c>
      <c r="BU47" s="68"/>
      <c r="BV47" s="44"/>
      <c r="BW47" s="66" t="s">
        <v>1355</v>
      </c>
      <c r="BX47" s="75">
        <v>0</v>
      </c>
      <c r="BY47" s="70" t="str">
        <f>MID(BY40,7,1)</f>
        <v>0</v>
      </c>
      <c r="BZ47" s="70" t="str">
        <f>MID(BZ40,7,1)</f>
        <v>0</v>
      </c>
      <c r="CA47" s="68"/>
      <c r="CB47" s="44"/>
      <c r="CC47" s="70" t="s">
        <v>1356</v>
      </c>
      <c r="CD47" s="68" t="s">
        <v>1357</v>
      </c>
    </row>
    <row r="48" spans="1:82" ht="14.5" x14ac:dyDescent="0.3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66" t="s">
        <v>1358</v>
      </c>
      <c r="AM48" s="68" t="s">
        <v>1359</v>
      </c>
      <c r="AN48" s="70">
        <v>1</v>
      </c>
      <c r="AO48" s="70" t="str">
        <f>MID(AO44,4,1)</f>
        <v>1</v>
      </c>
      <c r="AP48" s="68"/>
      <c r="AQ48" s="44"/>
      <c r="AR48" s="44"/>
      <c r="AS48" s="44"/>
      <c r="AT48" s="44"/>
      <c r="AU48" s="22" t="s">
        <v>1360</v>
      </c>
      <c r="AV48" s="73"/>
      <c r="AW48" s="70" t="str">
        <f>TEXT(11100000,"00000000")</f>
        <v>11100000</v>
      </c>
      <c r="AX48" s="70" t="str">
        <f>TEXT(X4,"00000000")</f>
        <v>11100000</v>
      </c>
      <c r="AY48" s="68"/>
      <c r="AZ48" s="44"/>
      <c r="BA48" s="31" t="s">
        <v>1361</v>
      </c>
      <c r="BB48" s="68" t="s">
        <v>1362</v>
      </c>
      <c r="BC48" s="70" t="str">
        <f>MID(BC41,7,1)</f>
        <v>1</v>
      </c>
      <c r="BD48" s="70" t="str">
        <f>MID(BD41,7,1)</f>
        <v>1</v>
      </c>
      <c r="BE48" s="68"/>
      <c r="BF48" s="44"/>
      <c r="BG48" s="44"/>
      <c r="BH48" s="44"/>
      <c r="BI48" s="44"/>
      <c r="BJ48" s="66" t="s">
        <v>1363</v>
      </c>
      <c r="BK48" s="68" t="s">
        <v>1364</v>
      </c>
      <c r="BL48" s="70" t="str">
        <f>MID(BL47,1,1)</f>
        <v>1</v>
      </c>
      <c r="BM48" s="70" t="str">
        <f>MID(BM47,1,1)</f>
        <v>1</v>
      </c>
      <c r="BN48" s="68"/>
      <c r="BO48" s="44"/>
      <c r="BP48" s="44"/>
      <c r="BQ48" s="66" t="s">
        <v>1365</v>
      </c>
      <c r="BR48" s="68" t="s">
        <v>1366</v>
      </c>
      <c r="BS48" s="70">
        <v>0</v>
      </c>
      <c r="BT48" s="70" t="str">
        <f>MID(BT40,8,1)</f>
        <v>0</v>
      </c>
      <c r="BU48" s="68"/>
      <c r="BV48" s="44"/>
      <c r="BW48" s="66" t="s">
        <v>1367</v>
      </c>
      <c r="BX48" s="75" t="s">
        <v>1368</v>
      </c>
      <c r="BY48" s="70" t="str">
        <f>MID(BY40,8,1)</f>
        <v>1</v>
      </c>
      <c r="BZ48" s="70" t="str">
        <f>MID(BZ40,8,1)</f>
        <v>1</v>
      </c>
      <c r="CA48" s="68"/>
      <c r="CB48" s="44"/>
      <c r="CC48" s="70" t="s">
        <v>1369</v>
      </c>
      <c r="CD48" s="68" t="s">
        <v>1370</v>
      </c>
    </row>
    <row r="49" spans="38:79" ht="14.5" customHeight="1" x14ac:dyDescent="0.3">
      <c r="AL49" s="66" t="s">
        <v>1371</v>
      </c>
      <c r="AM49" s="68" t="s">
        <v>1372</v>
      </c>
      <c r="AN49" s="70">
        <v>1</v>
      </c>
      <c r="AO49" s="70" t="str">
        <f>MID(AO44,5,1)</f>
        <v>1</v>
      </c>
      <c r="AP49" s="68"/>
      <c r="AQ49" s="44"/>
      <c r="AR49" s="44"/>
      <c r="AS49" s="44"/>
      <c r="AT49" s="44"/>
      <c r="AU49" s="68" t="s">
        <v>1373</v>
      </c>
      <c r="AV49" s="68" t="s">
        <v>1374</v>
      </c>
      <c r="AW49" s="70" t="str">
        <f>MID(AW48,1,1)</f>
        <v>1</v>
      </c>
      <c r="AX49" s="70" t="str">
        <f>MID(AX48,1,1)</f>
        <v>1</v>
      </c>
      <c r="AY49" s="68"/>
      <c r="AZ49" s="44"/>
      <c r="BA49" s="31" t="s">
        <v>1375</v>
      </c>
      <c r="BB49" s="68" t="s">
        <v>1376</v>
      </c>
      <c r="BC49" s="70" t="str">
        <f>MID(BC41,8,1)</f>
        <v>1</v>
      </c>
      <c r="BD49" s="70" t="str">
        <f>MID(BD41,8,1)</f>
        <v>1</v>
      </c>
      <c r="BE49" s="68"/>
      <c r="BF49" s="44"/>
      <c r="BG49" s="44"/>
      <c r="BH49" s="44"/>
      <c r="BI49" s="44"/>
      <c r="BJ49" s="66" t="s">
        <v>1377</v>
      </c>
      <c r="BK49" s="68" t="s">
        <v>1378</v>
      </c>
      <c r="BL49" s="70" t="str">
        <f>MID(BL47,2,1)</f>
        <v>1</v>
      </c>
      <c r="BM49" s="70" t="str">
        <f>MID(BM47,2,1)</f>
        <v>1</v>
      </c>
      <c r="BN49" s="68"/>
      <c r="BO49" s="44"/>
      <c r="BP49" s="44"/>
      <c r="BQ49" s="66" t="s">
        <v>1379</v>
      </c>
      <c r="BR49" s="68" t="s">
        <v>1269</v>
      </c>
      <c r="BS49" s="70" t="str">
        <f>TEXT(0,"00000000")</f>
        <v>00000000</v>
      </c>
      <c r="BT49" s="70" t="str">
        <f>AB11</f>
        <v>00000000</v>
      </c>
      <c r="BU49" s="68"/>
      <c r="BV49" s="44"/>
      <c r="BW49" s="44"/>
      <c r="BX49" s="44"/>
      <c r="BY49" s="44"/>
      <c r="BZ49" s="44"/>
      <c r="CA49" s="44"/>
    </row>
    <row r="50" spans="38:79" ht="14.5" customHeight="1" x14ac:dyDescent="0.3">
      <c r="AL50" s="66" t="s">
        <v>1380</v>
      </c>
      <c r="AM50" s="68" t="s">
        <v>1381</v>
      </c>
      <c r="AN50" s="70">
        <v>1</v>
      </c>
      <c r="AO50" s="70" t="str">
        <f>MID(AO44,6,1)</f>
        <v>1</v>
      </c>
      <c r="AP50" s="68"/>
      <c r="AQ50" s="44"/>
      <c r="AR50" s="44"/>
      <c r="AS50" s="44"/>
      <c r="AT50" s="44"/>
      <c r="AU50" s="68" t="s">
        <v>1382</v>
      </c>
      <c r="AV50" s="68" t="s">
        <v>1383</v>
      </c>
      <c r="AW50" s="70" t="str">
        <f>MID(AW48,2,1)</f>
        <v>1</v>
      </c>
      <c r="AX50" s="70" t="str">
        <f>MID(AX48,2,1)</f>
        <v>1</v>
      </c>
      <c r="AY50" s="68"/>
      <c r="AZ50" s="44"/>
      <c r="BA50" s="9" t="s">
        <v>1384</v>
      </c>
      <c r="BB50" s="71" t="s">
        <v>1385</v>
      </c>
      <c r="BC50" s="70" t="str">
        <f>TEXT(11000000,"00000000")</f>
        <v>11000000</v>
      </c>
      <c r="BD50" s="70" t="str">
        <f>T7</f>
        <v>11000000</v>
      </c>
      <c r="BE50" s="68"/>
      <c r="BF50" s="44"/>
      <c r="BG50" s="44"/>
      <c r="BH50" s="44"/>
      <c r="BI50" s="44"/>
      <c r="BJ50" s="66" t="s">
        <v>1386</v>
      </c>
      <c r="BK50" s="68" t="s">
        <v>1387</v>
      </c>
      <c r="BL50" s="70" t="str">
        <f>MID(BL47,3,1)</f>
        <v>1</v>
      </c>
      <c r="BM50" s="70" t="str">
        <f>MID(BM47,3,1)</f>
        <v>1</v>
      </c>
      <c r="BN50" s="68"/>
      <c r="BO50" s="44"/>
      <c r="BP50" s="44"/>
      <c r="BQ50" s="66" t="s">
        <v>1388</v>
      </c>
      <c r="BR50" s="68" t="s">
        <v>1389</v>
      </c>
      <c r="BS50" s="70">
        <v>0</v>
      </c>
      <c r="BT50" s="70" t="str">
        <f>MID(BT49,1,1)</f>
        <v>0</v>
      </c>
      <c r="BU50" s="68"/>
      <c r="BV50" s="44"/>
      <c r="BW50" s="68"/>
      <c r="BX50" s="67" t="s">
        <v>75</v>
      </c>
      <c r="BY50" s="4" t="s">
        <v>19</v>
      </c>
      <c r="BZ50" s="4" t="s">
        <v>2</v>
      </c>
      <c r="CA50" s="18" t="s">
        <v>393</v>
      </c>
    </row>
    <row r="51" spans="38:79" ht="14.5" customHeight="1" x14ac:dyDescent="0.3">
      <c r="AL51" s="66" t="s">
        <v>1390</v>
      </c>
      <c r="AM51" s="68" t="s">
        <v>1391</v>
      </c>
      <c r="AN51" s="70">
        <v>1</v>
      </c>
      <c r="AO51" s="70" t="str">
        <f>MID(AO44,7,1)</f>
        <v>1</v>
      </c>
      <c r="AP51" s="68"/>
      <c r="AQ51" s="44"/>
      <c r="AR51" s="44"/>
      <c r="AS51" s="44"/>
      <c r="AT51" s="44"/>
      <c r="AU51" s="68" t="s">
        <v>1392</v>
      </c>
      <c r="AV51" s="68" t="s">
        <v>1393</v>
      </c>
      <c r="AW51" s="70" t="str">
        <f>MID(AW48,3,1)</f>
        <v>1</v>
      </c>
      <c r="AX51" s="70" t="str">
        <f>MID(AX48,3,1)</f>
        <v>1</v>
      </c>
      <c r="AY51" s="68"/>
      <c r="AZ51" s="44"/>
      <c r="BA51" s="31" t="s">
        <v>1291</v>
      </c>
      <c r="BB51" s="68" t="s">
        <v>1394</v>
      </c>
      <c r="BC51" s="70" t="str">
        <f>MID(BC50,1,1)</f>
        <v>1</v>
      </c>
      <c r="BD51" s="70" t="str">
        <f>MID(BD50,1,1)</f>
        <v>1</v>
      </c>
      <c r="BE51" s="68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66" t="s">
        <v>1395</v>
      </c>
      <c r="BR51" s="68" t="s">
        <v>1396</v>
      </c>
      <c r="BS51" s="70">
        <v>0</v>
      </c>
      <c r="BT51" s="70" t="str">
        <f>MID(BT49,2,1)</f>
        <v>0</v>
      </c>
      <c r="BU51" s="68"/>
      <c r="BV51" s="44"/>
      <c r="BW51" s="68"/>
      <c r="BX51" s="3"/>
      <c r="BY51" s="70"/>
      <c r="BZ51" s="70"/>
      <c r="CA51" s="68"/>
    </row>
    <row r="52" spans="38:79" ht="14.5" customHeight="1" x14ac:dyDescent="0.3"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60"/>
      <c r="AW52" s="51"/>
      <c r="AX52" s="51"/>
      <c r="AY52" s="44"/>
      <c r="AZ52" s="44"/>
      <c r="BA52" s="31" t="s">
        <v>1305</v>
      </c>
      <c r="BB52" s="68" t="s">
        <v>1397</v>
      </c>
      <c r="BC52" s="70" t="str">
        <f>MID(BC50,2,1)</f>
        <v>1</v>
      </c>
      <c r="BD52" s="70" t="str">
        <f>MID(BD50,2,1)</f>
        <v>1</v>
      </c>
      <c r="BE52" s="68"/>
      <c r="BF52" s="44"/>
      <c r="BG52" s="44"/>
      <c r="BH52" s="44"/>
      <c r="BI52" s="44"/>
      <c r="BJ52" s="68"/>
      <c r="BK52" s="67" t="s">
        <v>75</v>
      </c>
      <c r="BL52" s="4" t="s">
        <v>19</v>
      </c>
      <c r="BM52" s="4" t="s">
        <v>2</v>
      </c>
      <c r="BN52" s="18" t="s">
        <v>393</v>
      </c>
      <c r="BO52" s="44"/>
      <c r="BP52" s="44"/>
      <c r="BQ52" s="66" t="s">
        <v>1398</v>
      </c>
      <c r="BR52" s="68" t="s">
        <v>1399</v>
      </c>
      <c r="BS52" s="70">
        <v>0</v>
      </c>
      <c r="BT52" s="70" t="str">
        <f>MID(BT49,3,1)</f>
        <v>0</v>
      </c>
      <c r="BU52" s="68"/>
      <c r="BV52" s="44"/>
      <c r="BW52" s="6" t="s">
        <v>1400</v>
      </c>
      <c r="BX52" s="71"/>
      <c r="BY52" s="70" t="str">
        <f>TEXT(0,"11111110")</f>
        <v>11111110</v>
      </c>
      <c r="BZ52" s="70" t="str">
        <f>Z15</f>
        <v>11111110</v>
      </c>
      <c r="CA52" s="68"/>
    </row>
    <row r="53" spans="38:79" ht="14.5" customHeight="1" x14ac:dyDescent="0.3">
      <c r="AL53" s="66"/>
      <c r="AM53" s="67" t="s">
        <v>75</v>
      </c>
      <c r="AN53" s="4" t="s">
        <v>19</v>
      </c>
      <c r="AO53" s="4" t="s">
        <v>2</v>
      </c>
      <c r="AP53" s="4" t="s">
        <v>866</v>
      </c>
      <c r="AQ53" s="44"/>
      <c r="AR53" s="44"/>
      <c r="AS53" s="44"/>
      <c r="AT53" s="44"/>
      <c r="AU53" s="68"/>
      <c r="AV53" s="67" t="s">
        <v>75</v>
      </c>
      <c r="AW53" s="68"/>
      <c r="AX53" s="68"/>
      <c r="AY53" s="68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68"/>
      <c r="BK53" s="3"/>
      <c r="BL53" s="70"/>
      <c r="BM53" s="70"/>
      <c r="BN53" s="68"/>
      <c r="BO53" s="44"/>
      <c r="BP53" s="44"/>
      <c r="BQ53" s="66" t="s">
        <v>1401</v>
      </c>
      <c r="BR53" s="68" t="s">
        <v>1402</v>
      </c>
      <c r="BS53" s="70">
        <v>0</v>
      </c>
      <c r="BT53" s="70" t="str">
        <f>MID(BT49,4,1)</f>
        <v>0</v>
      </c>
      <c r="BU53" s="68"/>
      <c r="BV53" s="44"/>
      <c r="BW53" s="66" t="s">
        <v>1403</v>
      </c>
      <c r="BX53" s="68" t="s">
        <v>1404</v>
      </c>
      <c r="BY53" s="70" t="str">
        <f>MID(BY52,1,1)</f>
        <v>1</v>
      </c>
      <c r="BZ53" s="70" t="str">
        <f>MID(BZ52,1,1)</f>
        <v>1</v>
      </c>
      <c r="CA53" s="68"/>
    </row>
    <row r="54" spans="38:79" ht="14.5" x14ac:dyDescent="0.3">
      <c r="AL54" s="66"/>
      <c r="AM54" s="23" t="s">
        <v>1405</v>
      </c>
      <c r="AN54" s="70"/>
      <c r="AO54" s="70"/>
      <c r="AP54" s="68"/>
      <c r="AQ54" s="44"/>
      <c r="AR54" s="44"/>
      <c r="AS54" s="44"/>
      <c r="AT54" s="44"/>
      <c r="AU54" s="68"/>
      <c r="AV54" s="3" t="s">
        <v>1406</v>
      </c>
      <c r="AW54" s="4" t="s">
        <v>19</v>
      </c>
      <c r="AX54" s="4" t="s">
        <v>2</v>
      </c>
      <c r="AY54" s="18" t="s">
        <v>393</v>
      </c>
      <c r="AZ54" s="44"/>
      <c r="BA54" s="68"/>
      <c r="BB54" s="67" t="s">
        <v>75</v>
      </c>
      <c r="BC54" s="68"/>
      <c r="BD54" s="68"/>
      <c r="BE54" s="68"/>
      <c r="BF54" s="44"/>
      <c r="BG54" s="44"/>
      <c r="BH54" s="44"/>
      <c r="BI54" s="44"/>
      <c r="BJ54" s="6" t="s">
        <v>1407</v>
      </c>
      <c r="BK54" s="71"/>
      <c r="BL54" s="70" t="str">
        <f>TEXT(0,"01000000")</f>
        <v>01000000</v>
      </c>
      <c r="BM54" s="70" t="str">
        <f>Z10</f>
        <v>11000000</v>
      </c>
      <c r="BN54" s="68"/>
      <c r="BO54" s="44"/>
      <c r="BP54" s="44"/>
      <c r="BQ54" s="66" t="s">
        <v>1408</v>
      </c>
      <c r="BR54" s="68" t="s">
        <v>1409</v>
      </c>
      <c r="BS54" s="70">
        <v>0</v>
      </c>
      <c r="BT54" s="70" t="str">
        <f>MID(BT49,5,1)</f>
        <v>0</v>
      </c>
      <c r="BU54" s="68"/>
      <c r="BV54" s="44"/>
      <c r="BW54" s="66" t="s">
        <v>1410</v>
      </c>
      <c r="BX54" s="75">
        <v>1</v>
      </c>
      <c r="BY54" s="70" t="str">
        <f>MID(BY52,2,1)</f>
        <v>1</v>
      </c>
      <c r="BZ54" s="70" t="str">
        <f>MID(BZ52,2,1)</f>
        <v>1</v>
      </c>
      <c r="CA54" s="68"/>
    </row>
    <row r="55" spans="38:79" ht="14.5" customHeight="1" x14ac:dyDescent="0.3">
      <c r="AL55" s="6" t="s">
        <v>1411</v>
      </c>
      <c r="AM55" s="71"/>
      <c r="AN55" s="70">
        <v>11111100</v>
      </c>
      <c r="AO55" s="70" t="str">
        <f>TEXT(AF2,"00000000")</f>
        <v>11111100</v>
      </c>
      <c r="AP55" s="68"/>
      <c r="AQ55" s="44"/>
      <c r="AR55" s="44"/>
      <c r="AS55" s="44"/>
      <c r="AT55" s="44"/>
      <c r="AU55" s="71" t="s">
        <v>1412</v>
      </c>
      <c r="AV55" s="71"/>
      <c r="AW55" s="70" t="str">
        <f>TEXT(11,"00000000")</f>
        <v>00000011</v>
      </c>
      <c r="AX55" s="70" t="str">
        <f>TEXT(AF4,"00000000")</f>
        <v>00000011</v>
      </c>
      <c r="AY55" s="68"/>
      <c r="AZ55" s="44"/>
      <c r="BA55" s="68"/>
      <c r="BB55" s="3" t="s">
        <v>1413</v>
      </c>
      <c r="BC55" s="4" t="s">
        <v>19</v>
      </c>
      <c r="BD55" s="4" t="s">
        <v>2</v>
      </c>
      <c r="BE55" s="18" t="s">
        <v>393</v>
      </c>
      <c r="BF55" s="44"/>
      <c r="BG55" s="44"/>
      <c r="BH55" s="44"/>
      <c r="BI55" s="44"/>
      <c r="BJ55" s="66" t="s">
        <v>1414</v>
      </c>
      <c r="BK55" s="68" t="s">
        <v>1415</v>
      </c>
      <c r="BL55" s="70" t="str">
        <f>MID(BL54,1,1)</f>
        <v>0</v>
      </c>
      <c r="BM55" s="70" t="str">
        <f>MID(BM54,1,1)</f>
        <v>1</v>
      </c>
      <c r="BN55" s="68" t="s">
        <v>2031</v>
      </c>
      <c r="BO55" s="44"/>
      <c r="BP55" s="44"/>
      <c r="BQ55" s="66" t="s">
        <v>1416</v>
      </c>
      <c r="BR55" s="68" t="s">
        <v>1417</v>
      </c>
      <c r="BS55" s="70">
        <v>0</v>
      </c>
      <c r="BT55" s="70" t="str">
        <f>MID(BT49,6,1)</f>
        <v>0</v>
      </c>
      <c r="BU55" s="68"/>
      <c r="BV55" s="44"/>
      <c r="BW55" s="66" t="s">
        <v>1418</v>
      </c>
      <c r="BX55" s="75">
        <v>1</v>
      </c>
      <c r="BY55" s="70" t="str">
        <f>MID(BY52,3,1)</f>
        <v>1</v>
      </c>
      <c r="BZ55" s="70" t="str">
        <f>MID(BZ52,3,1)</f>
        <v>1</v>
      </c>
      <c r="CA55" s="68"/>
    </row>
    <row r="56" spans="38:79" ht="14.5" customHeight="1" x14ac:dyDescent="0.3">
      <c r="AL56" s="85" t="s">
        <v>1419</v>
      </c>
      <c r="AM56" s="71" t="s">
        <v>1420</v>
      </c>
      <c r="AN56" s="70">
        <v>1</v>
      </c>
      <c r="AO56" s="70" t="str">
        <f>MID(AO55,1,1)</f>
        <v>1</v>
      </c>
      <c r="AP56" s="68"/>
      <c r="AQ56" s="44"/>
      <c r="AR56" s="44"/>
      <c r="AS56" s="44"/>
      <c r="AT56" s="44"/>
      <c r="AU56" s="68" t="s">
        <v>1421</v>
      </c>
      <c r="AV56" s="68" t="s">
        <v>1422</v>
      </c>
      <c r="AW56" s="70" t="str">
        <f>MID(AW55,7,1)</f>
        <v>1</v>
      </c>
      <c r="AX56" s="70" t="str">
        <f>MID(AX55,7,1)</f>
        <v>1</v>
      </c>
      <c r="AY56" s="68"/>
      <c r="AZ56" s="44"/>
      <c r="BA56" s="9" t="s">
        <v>1423</v>
      </c>
      <c r="BB56" s="71" t="s">
        <v>1424</v>
      </c>
      <c r="BC56" s="70" t="str">
        <f>TEXT(11100000,"00000000")</f>
        <v>11100000</v>
      </c>
      <c r="BD56" s="70" t="str">
        <f>S8</f>
        <v>11100000</v>
      </c>
      <c r="BE56" s="68"/>
      <c r="BF56" s="44"/>
      <c r="BG56" s="44"/>
      <c r="BH56" s="44"/>
      <c r="BI56" s="44"/>
      <c r="BJ56" s="66" t="s">
        <v>1425</v>
      </c>
      <c r="BK56" s="68" t="s">
        <v>1426</v>
      </c>
      <c r="BL56" s="70" t="str">
        <f>MID(BL54,2,1)</f>
        <v>1</v>
      </c>
      <c r="BM56" s="70" t="str">
        <f>MID(BM54,2,1)</f>
        <v>1</v>
      </c>
      <c r="BN56" s="68" t="s">
        <v>2031</v>
      </c>
      <c r="BO56" s="44"/>
      <c r="BP56" s="44"/>
      <c r="BQ56" s="66" t="s">
        <v>1427</v>
      </c>
      <c r="BR56" s="68" t="s">
        <v>1428</v>
      </c>
      <c r="BS56" s="70">
        <v>0</v>
      </c>
      <c r="BT56" s="70" t="str">
        <f>MID(BT49,7,1)</f>
        <v>0</v>
      </c>
      <c r="BU56" s="68"/>
      <c r="BV56" s="44"/>
      <c r="BW56" s="66" t="s">
        <v>1429</v>
      </c>
      <c r="BX56" s="75">
        <v>1</v>
      </c>
      <c r="BY56" s="70" t="str">
        <f>MID(BY52,4,1)</f>
        <v>1</v>
      </c>
      <c r="BZ56" s="70" t="str">
        <f>MID(BZ52,4,1)</f>
        <v>1</v>
      </c>
      <c r="CA56" s="68"/>
    </row>
    <row r="57" spans="38:79" ht="14.5" customHeight="1" x14ac:dyDescent="0.3">
      <c r="AL57" s="66" t="s">
        <v>1430</v>
      </c>
      <c r="AM57" s="68" t="s">
        <v>1431</v>
      </c>
      <c r="AN57" s="70">
        <v>1</v>
      </c>
      <c r="AO57" s="70" t="str">
        <f>MID(AO55,2,1)</f>
        <v>1</v>
      </c>
      <c r="AP57" s="68"/>
      <c r="AQ57" s="44"/>
      <c r="AR57" s="44"/>
      <c r="AS57" s="44"/>
      <c r="AT57" s="44"/>
      <c r="AU57" s="68" t="s">
        <v>1432</v>
      </c>
      <c r="AV57" s="68" t="s">
        <v>1433</v>
      </c>
      <c r="AW57" s="70" t="str">
        <f>MID(AW55,8,1)</f>
        <v>1</v>
      </c>
      <c r="AX57" s="70" t="str">
        <f>MID(AX55,8,1)</f>
        <v>1</v>
      </c>
      <c r="AY57" s="68"/>
      <c r="AZ57" s="44"/>
      <c r="BA57" s="32" t="s">
        <v>1434</v>
      </c>
      <c r="BB57" s="80" t="s">
        <v>1435</v>
      </c>
      <c r="BC57" s="79" t="str">
        <f>MID(BC56,1,1)</f>
        <v>1</v>
      </c>
      <c r="BD57" s="79" t="str">
        <f>MID(BD56,1,1)</f>
        <v>1</v>
      </c>
      <c r="BE57" s="80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66" t="s">
        <v>1436</v>
      </c>
      <c r="BR57" s="68" t="s">
        <v>1437</v>
      </c>
      <c r="BS57" s="70">
        <v>0</v>
      </c>
      <c r="BT57" s="70" t="str">
        <f>MID(BT49,8,1)</f>
        <v>0</v>
      </c>
      <c r="BU57" s="68"/>
      <c r="BV57" s="44"/>
      <c r="BW57" s="66" t="s">
        <v>1438</v>
      </c>
      <c r="BX57" s="75">
        <v>1</v>
      </c>
      <c r="BY57" s="70" t="str">
        <f>MID(BY52,5,1)</f>
        <v>1</v>
      </c>
      <c r="BZ57" s="70" t="str">
        <f>MID(BZ52,5,1)</f>
        <v>1</v>
      </c>
      <c r="CA57" s="68"/>
    </row>
    <row r="58" spans="38:79" ht="14.5" customHeight="1" x14ac:dyDescent="0.3">
      <c r="AL58" s="66" t="s">
        <v>1439</v>
      </c>
      <c r="AM58" s="68" t="s">
        <v>1440</v>
      </c>
      <c r="AN58" s="70">
        <v>1</v>
      </c>
      <c r="AO58" s="70" t="str">
        <f>MID(AO55,3,1)</f>
        <v>1</v>
      </c>
      <c r="AP58" s="68"/>
      <c r="AQ58" s="44"/>
      <c r="AR58" s="44"/>
      <c r="AS58" s="44"/>
      <c r="AT58" s="44"/>
      <c r="AU58" s="22" t="s">
        <v>1441</v>
      </c>
      <c r="AV58" s="71" t="s">
        <v>1442</v>
      </c>
      <c r="AW58" s="70" t="s">
        <v>96</v>
      </c>
      <c r="AX58" s="70" t="str">
        <f>P4</f>
        <v>0f</v>
      </c>
      <c r="AY58" s="68"/>
      <c r="AZ58" s="44"/>
      <c r="BA58" s="31" t="s">
        <v>1443</v>
      </c>
      <c r="BB58" s="68" t="s">
        <v>1444</v>
      </c>
      <c r="BC58" s="70" t="str">
        <f>MID(BC56,2,1)</f>
        <v>1</v>
      </c>
      <c r="BD58" s="70" t="str">
        <f>MID(BD56,2,1)</f>
        <v>1</v>
      </c>
      <c r="BE58" s="68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66" t="s">
        <v>1445</v>
      </c>
      <c r="BR58" s="68"/>
      <c r="BS58" s="70" t="str">
        <f>TEXT(0,"00000000")</f>
        <v>00000000</v>
      </c>
      <c r="BT58" s="70" t="str">
        <f>AC11</f>
        <v>00000000</v>
      </c>
      <c r="BU58" s="68"/>
      <c r="BV58" s="44"/>
      <c r="BW58" s="66" t="s">
        <v>1446</v>
      </c>
      <c r="BX58" s="75">
        <v>1</v>
      </c>
      <c r="BY58" s="70" t="str">
        <f>MID(BY52,6,1)</f>
        <v>1</v>
      </c>
      <c r="BZ58" s="70" t="str">
        <f>MID(BZ52,6,1)</f>
        <v>1</v>
      </c>
      <c r="CA58" s="68"/>
    </row>
    <row r="59" spans="38:79" ht="14.5" customHeight="1" x14ac:dyDescent="0.3">
      <c r="AL59" s="66" t="s">
        <v>1447</v>
      </c>
      <c r="AM59" s="68" t="s">
        <v>1448</v>
      </c>
      <c r="AN59" s="70">
        <v>1</v>
      </c>
      <c r="AO59" s="70" t="str">
        <f>MID(AO55,4,1)</f>
        <v>1</v>
      </c>
      <c r="AP59" s="68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32" t="s">
        <v>1449</v>
      </c>
      <c r="BB59" s="44" t="s">
        <v>1450</v>
      </c>
      <c r="BC59" s="70" t="str">
        <f>MID(BC56,3,1)</f>
        <v>1</v>
      </c>
      <c r="BD59" s="70" t="str">
        <f>MID(BD56,3,1)</f>
        <v>1</v>
      </c>
      <c r="BE59" s="80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66" t="s">
        <v>1451</v>
      </c>
      <c r="BR59" s="68" t="s">
        <v>1452</v>
      </c>
      <c r="BS59" s="70" t="str">
        <f>MID(BS58,1,1)</f>
        <v>0</v>
      </c>
      <c r="BT59" s="70" t="str">
        <f>MID(BT58,1,1)</f>
        <v>0</v>
      </c>
      <c r="BU59" s="68"/>
      <c r="BV59" s="44"/>
      <c r="BW59" s="66" t="s">
        <v>1453</v>
      </c>
      <c r="BX59" s="75">
        <v>1</v>
      </c>
      <c r="BY59" s="70" t="str">
        <f>MID(BY52,7,1)</f>
        <v>1</v>
      </c>
      <c r="BZ59" s="70" t="str">
        <f>MID(BZ52,7,1)</f>
        <v>1</v>
      </c>
      <c r="CA59" s="68"/>
    </row>
    <row r="60" spans="38:79" ht="14.5" customHeight="1" x14ac:dyDescent="0.3">
      <c r="AL60" s="66" t="s">
        <v>1454</v>
      </c>
      <c r="AM60" s="68" t="s">
        <v>1455</v>
      </c>
      <c r="AN60" s="70">
        <v>1</v>
      </c>
      <c r="AO60" s="70" t="str">
        <f>MID(AO55,5,1)</f>
        <v>1</v>
      </c>
      <c r="AP60" s="68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80"/>
      <c r="BB60" s="33" t="s">
        <v>1456</v>
      </c>
      <c r="BC60" s="80"/>
      <c r="BD60" s="80"/>
      <c r="BE60" s="80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66" t="s">
        <v>1457</v>
      </c>
      <c r="BR60" s="68" t="s">
        <v>1458</v>
      </c>
      <c r="BS60" s="70" t="str">
        <f>MID(BS58,2,1)</f>
        <v>0</v>
      </c>
      <c r="BT60" s="70" t="str">
        <f>MID(BT58,2,1)</f>
        <v>0</v>
      </c>
      <c r="BU60" s="68"/>
      <c r="BV60" s="44"/>
      <c r="BW60" s="66" t="s">
        <v>1459</v>
      </c>
      <c r="BX60" s="75" t="s">
        <v>1460</v>
      </c>
      <c r="BY60" s="70" t="str">
        <f>MID(BY52,8,1)</f>
        <v>0</v>
      </c>
      <c r="BZ60" s="70" t="str">
        <f>MID(BZ52,8,1)</f>
        <v>0</v>
      </c>
      <c r="CA60" s="68"/>
    </row>
    <row r="61" spans="38:79" ht="14.5" customHeight="1" x14ac:dyDescent="0.3">
      <c r="AL61" s="66" t="s">
        <v>1461</v>
      </c>
      <c r="AM61" s="68" t="s">
        <v>1462</v>
      </c>
      <c r="AN61" s="70">
        <v>1</v>
      </c>
      <c r="AO61" s="70" t="str">
        <f>MID(AO55,6,1)</f>
        <v>1</v>
      </c>
      <c r="AP61" s="68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9" t="s">
        <v>1463</v>
      </c>
      <c r="BB61" s="71"/>
      <c r="BC61" s="70" t="str">
        <f>TEXT(0,"00000000")</f>
        <v>00000000</v>
      </c>
      <c r="BD61" s="70" t="str">
        <f>T8</f>
        <v>00000000</v>
      </c>
      <c r="BE61" s="68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66" t="s">
        <v>1464</v>
      </c>
      <c r="BR61" s="68" t="s">
        <v>1465</v>
      </c>
      <c r="BS61" s="70" t="str">
        <f>MID(BS58,3,1)</f>
        <v>0</v>
      </c>
      <c r="BT61" s="70" t="str">
        <f>MID(BT58,3,1)</f>
        <v>0</v>
      </c>
      <c r="BU61" s="68"/>
      <c r="BV61" s="44"/>
      <c r="BW61" s="44"/>
      <c r="BX61" s="44"/>
      <c r="BY61" s="44"/>
      <c r="BZ61" s="44"/>
      <c r="CA61" s="44"/>
    </row>
    <row r="62" spans="38:79" ht="14.5" customHeight="1" x14ac:dyDescent="0.3">
      <c r="AL62" s="66"/>
      <c r="AM62" s="3" t="s">
        <v>1466</v>
      </c>
      <c r="AN62" s="70"/>
      <c r="AO62" s="70"/>
      <c r="AP62" s="68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31" t="s">
        <v>1467</v>
      </c>
      <c r="BB62" s="68" t="s">
        <v>1468</v>
      </c>
      <c r="BC62" s="70" t="str">
        <f>MID(BC61,1,1)</f>
        <v>0</v>
      </c>
      <c r="BD62" s="70" t="str">
        <f>MID(BD61,1,1)</f>
        <v>0</v>
      </c>
      <c r="BE62" s="68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66" t="s">
        <v>1469</v>
      </c>
      <c r="BR62" s="68" t="s">
        <v>1470</v>
      </c>
      <c r="BS62" s="70" t="str">
        <f>MID(BS58,4,1)</f>
        <v>0</v>
      </c>
      <c r="BT62" s="70" t="str">
        <f>MID(BT58,4,1)</f>
        <v>0</v>
      </c>
      <c r="BU62" s="68"/>
      <c r="BV62" s="44"/>
      <c r="BW62" s="66"/>
      <c r="BX62" s="67" t="s">
        <v>75</v>
      </c>
      <c r="BY62" s="4" t="s">
        <v>19</v>
      </c>
      <c r="BZ62" s="4" t="s">
        <v>2</v>
      </c>
      <c r="CA62" s="18" t="s">
        <v>393</v>
      </c>
    </row>
    <row r="63" spans="38:79" ht="14.5" customHeight="1" x14ac:dyDescent="0.3">
      <c r="AL63" s="6" t="s">
        <v>1471</v>
      </c>
      <c r="AM63" s="71" t="s">
        <v>1472</v>
      </c>
      <c r="AN63" s="70">
        <v>11111111</v>
      </c>
      <c r="AO63" s="70" t="str">
        <f>TEXT(S3,"00000000")</f>
        <v>11111111</v>
      </c>
      <c r="AP63" s="68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31" t="s">
        <v>1473</v>
      </c>
      <c r="BB63" s="68" t="s">
        <v>1474</v>
      </c>
      <c r="BC63" s="70" t="str">
        <f>MID(BC61,2,1)</f>
        <v>0</v>
      </c>
      <c r="BD63" s="70" t="str">
        <f>MID(BD61,2,1)</f>
        <v>0</v>
      </c>
      <c r="BE63" s="68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66" t="s">
        <v>1475</v>
      </c>
      <c r="BR63" s="68" t="s">
        <v>1476</v>
      </c>
      <c r="BS63" s="70" t="str">
        <f>MID(BS58,5,1)</f>
        <v>0</v>
      </c>
      <c r="BT63" s="70" t="str">
        <f>MID(BT58,5,1)</f>
        <v>0</v>
      </c>
      <c r="BU63" s="68"/>
      <c r="BV63" s="44"/>
      <c r="BW63" s="66"/>
      <c r="BX63" s="3" t="s">
        <v>1477</v>
      </c>
      <c r="BY63" s="68"/>
      <c r="BZ63" s="68"/>
      <c r="CA63" s="68"/>
    </row>
    <row r="64" spans="38:79" ht="14.5" customHeight="1" x14ac:dyDescent="0.3">
      <c r="AL64" s="66" t="s">
        <v>1478</v>
      </c>
      <c r="AM64" s="68" t="s">
        <v>1479</v>
      </c>
      <c r="AN64" s="70">
        <v>1</v>
      </c>
      <c r="AO64" s="70" t="str">
        <f>MID(AO63,1,1)</f>
        <v>1</v>
      </c>
      <c r="AP64" s="68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31" t="s">
        <v>1480</v>
      </c>
      <c r="BB64" s="68" t="s">
        <v>1481</v>
      </c>
      <c r="BC64" s="70" t="str">
        <f>MID(BC61,3,1)</f>
        <v>0</v>
      </c>
      <c r="BD64" s="70" t="str">
        <f>MID(BD61,3,1)</f>
        <v>0</v>
      </c>
      <c r="BE64" s="68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66" t="s">
        <v>1482</v>
      </c>
      <c r="BR64" s="68" t="s">
        <v>1483</v>
      </c>
      <c r="BS64" s="70" t="str">
        <f>MID(BS58,6,1)</f>
        <v>0</v>
      </c>
      <c r="BT64" s="70" t="str">
        <f>MID(BT58,6,1)</f>
        <v>0</v>
      </c>
      <c r="BU64" s="68"/>
      <c r="BV64" s="44"/>
      <c r="BW64" s="66" t="s">
        <v>1484</v>
      </c>
      <c r="BX64" s="68" t="s">
        <v>336</v>
      </c>
      <c r="BY64" s="68"/>
      <c r="BZ64" s="68" t="str">
        <f>O17</f>
        <v>00</v>
      </c>
      <c r="CA64" s="68"/>
    </row>
    <row r="65" spans="38:79" ht="14.5" customHeight="1" x14ac:dyDescent="0.3">
      <c r="AL65" s="66" t="s">
        <v>1485</v>
      </c>
      <c r="AM65" s="68" t="s">
        <v>1486</v>
      </c>
      <c r="AN65" s="70">
        <v>1</v>
      </c>
      <c r="AO65" s="70" t="str">
        <f>MID(AO63,2,1)</f>
        <v>1</v>
      </c>
      <c r="AP65" s="68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31" t="s">
        <v>1487</v>
      </c>
      <c r="BB65" s="68" t="s">
        <v>1488</v>
      </c>
      <c r="BC65" s="70" t="str">
        <f>MID(BC61,4,1)</f>
        <v>0</v>
      </c>
      <c r="BD65" s="70" t="str">
        <f>MID(BD61,4,1)</f>
        <v>0</v>
      </c>
      <c r="BE65" s="68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66" t="s">
        <v>1489</v>
      </c>
      <c r="BR65" s="68" t="s">
        <v>1490</v>
      </c>
      <c r="BS65" s="70" t="str">
        <f>MID(BS58,7,1)</f>
        <v>0</v>
      </c>
      <c r="BT65" s="70" t="str">
        <f>MID(BT58,7,1)</f>
        <v>0</v>
      </c>
      <c r="BU65" s="68"/>
      <c r="BV65" s="44"/>
      <c r="BW65" s="66" t="s">
        <v>897</v>
      </c>
      <c r="BX65" s="68" t="s">
        <v>1491</v>
      </c>
      <c r="BY65" s="68"/>
      <c r="BZ65" s="68" t="str">
        <f>P17</f>
        <v>02</v>
      </c>
      <c r="CA65" s="68"/>
    </row>
    <row r="66" spans="38:79" ht="14.5" customHeight="1" x14ac:dyDescent="0.3">
      <c r="AL66" s="66" t="s">
        <v>1492</v>
      </c>
      <c r="AM66" s="68" t="s">
        <v>1493</v>
      </c>
      <c r="AN66" s="70">
        <v>1</v>
      </c>
      <c r="AO66" s="70" t="str">
        <f>MID(AO63,3,1)</f>
        <v>1</v>
      </c>
      <c r="AP66" s="68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31" t="s">
        <v>1494</v>
      </c>
      <c r="BB66" s="68" t="s">
        <v>1495</v>
      </c>
      <c r="BC66" s="70" t="str">
        <f>MID(BC61,5,1)</f>
        <v>0</v>
      </c>
      <c r="BD66" s="70" t="str">
        <f>MID(BD61,5,1)</f>
        <v>0</v>
      </c>
      <c r="BE66" s="68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66" t="s">
        <v>1496</v>
      </c>
      <c r="BR66" s="68" t="s">
        <v>1497</v>
      </c>
      <c r="BS66" s="70" t="str">
        <f>MID(BS58,8,1)</f>
        <v>0</v>
      </c>
      <c r="BT66" s="70" t="str">
        <f>MID(BT58,8,1)</f>
        <v>0</v>
      </c>
      <c r="BU66" s="68"/>
      <c r="BV66" s="44"/>
      <c r="BW66" s="66" t="s">
        <v>1498</v>
      </c>
      <c r="BX66" s="68" t="s">
        <v>1499</v>
      </c>
      <c r="BY66" s="68"/>
      <c r="BZ66" s="68" t="str">
        <f>Q17</f>
        <v>0a</v>
      </c>
      <c r="CA66" s="68"/>
    </row>
    <row r="67" spans="38:79" ht="14.5" customHeight="1" x14ac:dyDescent="0.3">
      <c r="AL67" s="66" t="s">
        <v>1500</v>
      </c>
      <c r="AM67" s="68" t="s">
        <v>1501</v>
      </c>
      <c r="AN67" s="70">
        <v>1</v>
      </c>
      <c r="AO67" s="70" t="str">
        <f>MID(AO63,4,1)</f>
        <v>1</v>
      </c>
      <c r="AP67" s="68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31" t="s">
        <v>1502</v>
      </c>
      <c r="BB67" s="68" t="s">
        <v>1503</v>
      </c>
      <c r="BC67" s="70" t="str">
        <f>MID(BC61,6,1)</f>
        <v>0</v>
      </c>
      <c r="BD67" s="70" t="str">
        <f>MID(BD61,6,1)</f>
        <v>0</v>
      </c>
      <c r="BE67" s="68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66" t="s">
        <v>1504</v>
      </c>
      <c r="BR67" s="68"/>
      <c r="BS67" s="70" t="str">
        <f>TEXT(0,"00000000")</f>
        <v>00000000</v>
      </c>
      <c r="BT67" s="70" t="str">
        <f>AD11</f>
        <v>00000000</v>
      </c>
      <c r="BU67" s="68"/>
      <c r="BV67" s="44"/>
      <c r="BW67" s="44"/>
      <c r="BX67" s="44"/>
      <c r="BY67" s="44"/>
      <c r="BZ67" s="44"/>
      <c r="CA67" s="44"/>
    </row>
    <row r="68" spans="38:79" ht="14.5" customHeight="1" x14ac:dyDescent="0.3">
      <c r="AL68" s="66" t="s">
        <v>1505</v>
      </c>
      <c r="AM68" s="68" t="s">
        <v>1506</v>
      </c>
      <c r="AN68" s="70">
        <v>1</v>
      </c>
      <c r="AO68" s="70" t="str">
        <f>MID(AO63,5,1)</f>
        <v>1</v>
      </c>
      <c r="AP68" s="68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31" t="s">
        <v>1507</v>
      </c>
      <c r="BB68" s="68" t="s">
        <v>1508</v>
      </c>
      <c r="BC68" s="70" t="str">
        <f>MID(BC61,7,1)</f>
        <v>0</v>
      </c>
      <c r="BD68" s="70" t="str">
        <f>MID(BD61,7,1)</f>
        <v>0</v>
      </c>
      <c r="BE68" s="68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66" t="s">
        <v>1509</v>
      </c>
      <c r="BR68" s="68" t="s">
        <v>1510</v>
      </c>
      <c r="BS68" s="70" t="str">
        <f>MID(BS67,1,1)</f>
        <v>0</v>
      </c>
      <c r="BT68" s="70" t="str">
        <f>MID(BT67,1,1)</f>
        <v>0</v>
      </c>
      <c r="BU68" s="68"/>
      <c r="BV68" s="44"/>
      <c r="BW68" s="44"/>
      <c r="BX68" s="44"/>
      <c r="BY68" s="44"/>
      <c r="BZ68" s="44"/>
      <c r="CA68" s="44"/>
    </row>
    <row r="69" spans="38:79" ht="14.5" customHeight="1" x14ac:dyDescent="0.3">
      <c r="AL69" s="66" t="s">
        <v>1511</v>
      </c>
      <c r="AM69" s="68" t="s">
        <v>1512</v>
      </c>
      <c r="AN69" s="70">
        <v>1</v>
      </c>
      <c r="AO69" s="70" t="str">
        <f>MID(AO63,6,1)</f>
        <v>1</v>
      </c>
      <c r="AP69" s="68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31" t="s">
        <v>1513</v>
      </c>
      <c r="BB69" s="68" t="s">
        <v>1514</v>
      </c>
      <c r="BC69" s="70" t="str">
        <f>MID(BC61,8,1)</f>
        <v>0</v>
      </c>
      <c r="BD69" s="70" t="str">
        <f>MID(BD61,8,1)</f>
        <v>0</v>
      </c>
      <c r="BE69" s="68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66" t="s">
        <v>1515</v>
      </c>
      <c r="BR69" s="68" t="s">
        <v>1516</v>
      </c>
      <c r="BS69" s="70" t="str">
        <f>MID(BS67,2,1)</f>
        <v>0</v>
      </c>
      <c r="BT69" s="70" t="str">
        <f>MID(BT67,2,1)</f>
        <v>0</v>
      </c>
      <c r="BU69" s="68"/>
      <c r="BV69" s="44"/>
      <c r="BW69" s="44"/>
      <c r="BX69" s="44"/>
      <c r="BY69" s="44"/>
      <c r="BZ69" s="44"/>
      <c r="CA69" s="44"/>
    </row>
    <row r="70" spans="38:79" ht="14.5" customHeight="1" x14ac:dyDescent="0.3">
      <c r="AL70" s="66" t="s">
        <v>1517</v>
      </c>
      <c r="AM70" s="68" t="s">
        <v>1518</v>
      </c>
      <c r="AN70" s="70">
        <v>1</v>
      </c>
      <c r="AO70" s="70" t="str">
        <f>MID(AO63,7,1)</f>
        <v>1</v>
      </c>
      <c r="AP70" s="68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68"/>
      <c r="BB70" s="34" t="s">
        <v>1519</v>
      </c>
      <c r="BC70" s="68"/>
      <c r="BD70" s="68"/>
      <c r="BE70" s="68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66" t="s">
        <v>1520</v>
      </c>
      <c r="BR70" s="68" t="s">
        <v>1521</v>
      </c>
      <c r="BS70" s="70" t="str">
        <f>MID(BS67,3,1)</f>
        <v>0</v>
      </c>
      <c r="BT70" s="70" t="str">
        <f>MID(BT67,3,1)</f>
        <v>0</v>
      </c>
      <c r="BU70" s="68"/>
      <c r="BV70" s="44"/>
      <c r="BW70" s="44"/>
      <c r="BX70" s="44"/>
      <c r="BY70" s="44"/>
      <c r="BZ70" s="44"/>
      <c r="CA70" s="44"/>
    </row>
    <row r="71" spans="38:79" ht="14.5" customHeight="1" x14ac:dyDescent="0.3">
      <c r="AL71" s="66" t="s">
        <v>1522</v>
      </c>
      <c r="AM71" s="68" t="s">
        <v>1523</v>
      </c>
      <c r="AN71" s="70">
        <v>1</v>
      </c>
      <c r="AO71" s="70" t="str">
        <f>MID(AO63,8,1)</f>
        <v>1</v>
      </c>
      <c r="AP71" s="68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9" t="s">
        <v>1524</v>
      </c>
      <c r="BB71" s="71"/>
      <c r="BC71" s="70" t="str">
        <f>TEXT(1100111,"00000000")</f>
        <v>01100111</v>
      </c>
      <c r="BD71" s="70" t="str">
        <f>Y8</f>
        <v>01100111</v>
      </c>
      <c r="BE71" s="68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66" t="s">
        <v>1525</v>
      </c>
      <c r="BR71" s="68" t="s">
        <v>1526</v>
      </c>
      <c r="BS71" s="70" t="str">
        <f>MID(BS67,4,1)</f>
        <v>0</v>
      </c>
      <c r="BT71" s="70" t="str">
        <f>MID(BT67,4,1)</f>
        <v>0</v>
      </c>
      <c r="BU71" s="68"/>
      <c r="BV71" s="44"/>
      <c r="BW71" s="44"/>
      <c r="BX71" s="44"/>
      <c r="BY71" s="44"/>
      <c r="BZ71" s="44"/>
      <c r="CA71" s="44"/>
    </row>
    <row r="72" spans="38:79" ht="14.5" customHeight="1" x14ac:dyDescent="0.3">
      <c r="AL72" s="6" t="s">
        <v>1527</v>
      </c>
      <c r="AM72" s="71"/>
      <c r="AN72" s="70">
        <v>11000000</v>
      </c>
      <c r="AO72" s="70" t="str">
        <f>TEXT(T3,"00000000")</f>
        <v>11000000</v>
      </c>
      <c r="AP72" s="68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31" t="s">
        <v>1528</v>
      </c>
      <c r="BB72" s="68" t="s">
        <v>1529</v>
      </c>
      <c r="BC72" s="70" t="str">
        <f>MID(BC71,1,1)</f>
        <v>0</v>
      </c>
      <c r="BD72" s="70" t="str">
        <f>MID(BD71,1,1)</f>
        <v>0</v>
      </c>
      <c r="BE72" s="68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66" t="s">
        <v>1530</v>
      </c>
      <c r="BR72" s="68" t="s">
        <v>1531</v>
      </c>
      <c r="BS72" s="70" t="str">
        <f>MID(BS67,5,1)</f>
        <v>0</v>
      </c>
      <c r="BT72" s="70" t="str">
        <f>MID(BT67,5,1)</f>
        <v>0</v>
      </c>
      <c r="BU72" s="68"/>
      <c r="BV72" s="44"/>
      <c r="BW72" s="44"/>
      <c r="BX72" s="44"/>
      <c r="BY72" s="44"/>
      <c r="BZ72" s="44"/>
      <c r="CA72" s="44"/>
    </row>
    <row r="73" spans="38:79" ht="14.5" customHeight="1" x14ac:dyDescent="0.3">
      <c r="AL73" s="66" t="s">
        <v>1532</v>
      </c>
      <c r="AM73" s="68" t="s">
        <v>1533</v>
      </c>
      <c r="AN73" s="70">
        <v>1</v>
      </c>
      <c r="AO73" s="70" t="str">
        <f>MID(AO72,1,1)</f>
        <v>1</v>
      </c>
      <c r="AP73" s="68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31" t="s">
        <v>1534</v>
      </c>
      <c r="BB73" s="68" t="s">
        <v>1535</v>
      </c>
      <c r="BC73" s="70" t="str">
        <f>MID(BC71,2,1)</f>
        <v>1</v>
      </c>
      <c r="BD73" s="70" t="str">
        <f>MID(BD71,2,1)</f>
        <v>1</v>
      </c>
      <c r="BE73" s="68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66" t="s">
        <v>1536</v>
      </c>
      <c r="BR73" s="68" t="s">
        <v>1537</v>
      </c>
      <c r="BS73" s="70" t="str">
        <f>MID(BS67,6,1)</f>
        <v>0</v>
      </c>
      <c r="BT73" s="70" t="str">
        <f>MID(BT67,6,1)</f>
        <v>0</v>
      </c>
      <c r="BU73" s="68"/>
      <c r="BV73" s="44"/>
      <c r="BW73" s="44"/>
      <c r="BX73" s="44"/>
      <c r="BY73" s="44"/>
      <c r="BZ73" s="44"/>
      <c r="CA73" s="44"/>
    </row>
    <row r="74" spans="38:79" ht="14.5" customHeight="1" x14ac:dyDescent="0.3">
      <c r="AL74" s="66" t="s">
        <v>1538</v>
      </c>
      <c r="AM74" s="68" t="s">
        <v>1539</v>
      </c>
      <c r="AN74" s="70">
        <v>1</v>
      </c>
      <c r="AO74" s="70" t="str">
        <f>MID(AO72,2,1)</f>
        <v>1</v>
      </c>
      <c r="AP74" s="68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31" t="s">
        <v>1540</v>
      </c>
      <c r="BB74" s="68" t="s">
        <v>1541</v>
      </c>
      <c r="BC74" s="70" t="str">
        <f>MID(BC71,3,1)</f>
        <v>1</v>
      </c>
      <c r="BD74" s="70" t="str">
        <f>MID(BD71,3,1)</f>
        <v>1</v>
      </c>
      <c r="BE74" s="68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66" t="s">
        <v>1542</v>
      </c>
      <c r="BR74" s="68" t="s">
        <v>1543</v>
      </c>
      <c r="BS74" s="70" t="str">
        <f>MID(BS67,7,1)</f>
        <v>0</v>
      </c>
      <c r="BT74" s="70" t="str">
        <f>MID(BT67,7,1)</f>
        <v>0</v>
      </c>
      <c r="BU74" s="68"/>
      <c r="BV74" s="44"/>
      <c r="BW74" s="44"/>
      <c r="BX74" s="44"/>
      <c r="BY74" s="44"/>
      <c r="BZ74" s="44"/>
      <c r="CA74" s="44"/>
    </row>
    <row r="75" spans="38:79" ht="14.5" customHeight="1" x14ac:dyDescent="0.3">
      <c r="AL75" s="6" t="s">
        <v>1544</v>
      </c>
      <c r="AM75" s="71"/>
      <c r="AN75" s="70">
        <v>11111110</v>
      </c>
      <c r="AO75" s="70" t="str">
        <f>TEXT(U3,"00000000")</f>
        <v>11111110</v>
      </c>
      <c r="AP75" s="68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31" t="s">
        <v>1545</v>
      </c>
      <c r="BB75" s="68" t="s">
        <v>1546</v>
      </c>
      <c r="BC75" s="70" t="str">
        <f>MID(BC71,4,1)</f>
        <v>0</v>
      </c>
      <c r="BD75" s="70" t="str">
        <f>MID(BD71,4,1)</f>
        <v>0</v>
      </c>
      <c r="BE75" s="68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66" t="s">
        <v>1547</v>
      </c>
      <c r="BR75" s="68" t="s">
        <v>1548</v>
      </c>
      <c r="BS75" s="70" t="str">
        <f>MID(BS67,8,1)</f>
        <v>0</v>
      </c>
      <c r="BT75" s="70" t="str">
        <f>MID(BT67,8,1)</f>
        <v>0</v>
      </c>
      <c r="BU75" s="68"/>
      <c r="BV75" s="44"/>
      <c r="BW75" s="44"/>
      <c r="BX75" s="44"/>
      <c r="BY75" s="44"/>
      <c r="BZ75" s="44"/>
      <c r="CA75" s="44"/>
    </row>
    <row r="76" spans="38:79" ht="14.5" customHeight="1" x14ac:dyDescent="0.3">
      <c r="AL76" s="66" t="s">
        <v>1549</v>
      </c>
      <c r="AM76" s="68" t="s">
        <v>1550</v>
      </c>
      <c r="AN76" s="70">
        <v>1</v>
      </c>
      <c r="AO76" s="70" t="str">
        <f>MID(AO75,1,1)</f>
        <v>1</v>
      </c>
      <c r="AP76" s="68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31" t="s">
        <v>1551</v>
      </c>
      <c r="BB76" s="68" t="s">
        <v>1552</v>
      </c>
      <c r="BC76" s="70" t="str">
        <f>MID(BC71,5,1)</f>
        <v>0</v>
      </c>
      <c r="BD76" s="70" t="str">
        <f>MID(BD71,5,1)</f>
        <v>0</v>
      </c>
      <c r="BE76" s="68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66" t="s">
        <v>1553</v>
      </c>
      <c r="BR76" s="68" t="s">
        <v>1554</v>
      </c>
      <c r="BS76" s="70" t="str">
        <f>TEXT(10000000,"00000000")</f>
        <v>10000000</v>
      </c>
      <c r="BT76" s="70" t="str">
        <f>AE11</f>
        <v>10000000</v>
      </c>
      <c r="BU76" s="68"/>
      <c r="BV76" s="44"/>
      <c r="BW76" s="44"/>
      <c r="BX76" s="44"/>
      <c r="BY76" s="44"/>
      <c r="BZ76" s="44"/>
      <c r="CA76" s="44"/>
    </row>
    <row r="77" spans="38:79" ht="14.5" customHeight="1" x14ac:dyDescent="0.3">
      <c r="AL77" s="66" t="s">
        <v>1555</v>
      </c>
      <c r="AM77" s="68" t="s">
        <v>1556</v>
      </c>
      <c r="AN77" s="70">
        <v>1</v>
      </c>
      <c r="AO77" s="70" t="str">
        <f>MID(AO75,2,1)</f>
        <v>1</v>
      </c>
      <c r="AP77" s="68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31" t="s">
        <v>1557</v>
      </c>
      <c r="BB77" s="68" t="s">
        <v>1558</v>
      </c>
      <c r="BC77" s="70" t="str">
        <f>MID(BC71,6,1)</f>
        <v>1</v>
      </c>
      <c r="BD77" s="70" t="str">
        <f>MID(BD71,6,1)</f>
        <v>1</v>
      </c>
      <c r="BE77" s="68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66" t="s">
        <v>1559</v>
      </c>
      <c r="BR77" s="68" t="s">
        <v>1560</v>
      </c>
      <c r="BS77" s="70" t="str">
        <f>MID(BS76,1,1)</f>
        <v>1</v>
      </c>
      <c r="BT77" s="70" t="str">
        <f>MID(BT76,1,1)</f>
        <v>1</v>
      </c>
      <c r="BU77" s="68"/>
      <c r="BV77" s="44"/>
      <c r="BW77" s="44"/>
      <c r="BX77" s="44"/>
      <c r="BY77" s="44"/>
      <c r="BZ77" s="44"/>
      <c r="CA77" s="44"/>
    </row>
    <row r="78" spans="38:79" ht="14.5" customHeight="1" x14ac:dyDescent="0.3">
      <c r="AL78" s="66" t="s">
        <v>1561</v>
      </c>
      <c r="AM78" s="68" t="s">
        <v>1562</v>
      </c>
      <c r="AN78" s="70">
        <v>1</v>
      </c>
      <c r="AO78" s="70" t="str">
        <f>MID(AO75,3,1)</f>
        <v>1</v>
      </c>
      <c r="AP78" s="68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31" t="s">
        <v>1563</v>
      </c>
      <c r="BB78" s="68" t="s">
        <v>1564</v>
      </c>
      <c r="BC78" s="70" t="str">
        <f>MID(BC71,7,1)</f>
        <v>1</v>
      </c>
      <c r="BD78" s="70" t="str">
        <f>MID(BD71,7,1)</f>
        <v>1</v>
      </c>
      <c r="BE78" s="68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66" t="s">
        <v>1565</v>
      </c>
      <c r="BR78" s="68" t="s">
        <v>1566</v>
      </c>
      <c r="BS78" s="70" t="str">
        <f>MID(BS76,2,1)</f>
        <v>0</v>
      </c>
      <c r="BT78" s="70" t="str">
        <f>MID(BT76,2,1)</f>
        <v>0</v>
      </c>
      <c r="BU78" s="68"/>
      <c r="BV78" s="44"/>
      <c r="BW78" s="44"/>
      <c r="BX78" s="44"/>
      <c r="BY78" s="44"/>
      <c r="BZ78" s="44"/>
      <c r="CA78" s="44"/>
    </row>
    <row r="79" spans="38:79" ht="14.5" customHeight="1" x14ac:dyDescent="0.3">
      <c r="AL79" s="66" t="s">
        <v>1567</v>
      </c>
      <c r="AM79" s="68" t="s">
        <v>1568</v>
      </c>
      <c r="AN79" s="70">
        <v>1</v>
      </c>
      <c r="AO79" s="70" t="str">
        <f>MID(AO75,4,1)</f>
        <v>1</v>
      </c>
      <c r="AP79" s="68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31" t="s">
        <v>1569</v>
      </c>
      <c r="BB79" s="68" t="s">
        <v>1570</v>
      </c>
      <c r="BC79" s="70" t="str">
        <f>MID(BC71,8,1)</f>
        <v>1</v>
      </c>
      <c r="BD79" s="70" t="str">
        <f>MID(BD71,8,1)</f>
        <v>1</v>
      </c>
      <c r="BE79" s="68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66" t="s">
        <v>1571</v>
      </c>
      <c r="BR79" s="68" t="s">
        <v>1572</v>
      </c>
      <c r="BS79" s="70" t="str">
        <f>MID(BS76,3,1)</f>
        <v>0</v>
      </c>
      <c r="BT79" s="70" t="str">
        <f>MID(BT76,3,1)</f>
        <v>0</v>
      </c>
      <c r="BU79" s="68"/>
      <c r="BV79" s="44"/>
      <c r="BW79" s="44"/>
      <c r="BX79" s="44"/>
      <c r="BY79" s="44"/>
      <c r="BZ79" s="44"/>
      <c r="CA79" s="44"/>
    </row>
    <row r="80" spans="38:79" ht="14.5" customHeight="1" x14ac:dyDescent="0.3">
      <c r="AL80" s="66" t="s">
        <v>1573</v>
      </c>
      <c r="AM80" s="68" t="s">
        <v>1574</v>
      </c>
      <c r="AN80" s="70">
        <v>1</v>
      </c>
      <c r="AO80" s="70" t="str">
        <f>MID(AO75,5,1)</f>
        <v>1</v>
      </c>
      <c r="AP80" s="68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9" t="s">
        <v>1575</v>
      </c>
      <c r="BB80" s="71"/>
      <c r="BC80" s="70" t="str">
        <f>TEXT(11111001,"00000000")</f>
        <v>11111001</v>
      </c>
      <c r="BD80" s="70" t="str">
        <f>Z8</f>
        <v>11111001</v>
      </c>
      <c r="BE80" s="68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66" t="s">
        <v>1576</v>
      </c>
      <c r="BR80" s="68" t="s">
        <v>1577</v>
      </c>
      <c r="BS80" s="70" t="str">
        <f>MID(BS76,4,1)</f>
        <v>0</v>
      </c>
      <c r="BT80" s="70" t="str">
        <f>MID(BT76,4,1)</f>
        <v>0</v>
      </c>
      <c r="BU80" s="68"/>
      <c r="BV80" s="44"/>
      <c r="BW80" s="44"/>
      <c r="BX80" s="44"/>
      <c r="BY80" s="44"/>
      <c r="BZ80" s="44"/>
      <c r="CA80" s="44"/>
    </row>
    <row r="81" spans="38:73" ht="14.5" customHeight="1" x14ac:dyDescent="0.3">
      <c r="AL81" s="66" t="s">
        <v>1578</v>
      </c>
      <c r="AM81" s="68" t="s">
        <v>1579</v>
      </c>
      <c r="AN81" s="70">
        <v>1</v>
      </c>
      <c r="AO81" s="70" t="str">
        <f>MID(AO75,6,1)</f>
        <v>1</v>
      </c>
      <c r="AP81" s="68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31" t="s">
        <v>1580</v>
      </c>
      <c r="BB81" s="68" t="s">
        <v>1581</v>
      </c>
      <c r="BC81" s="70" t="str">
        <f>MID(BC80,1,1)</f>
        <v>1</v>
      </c>
      <c r="BD81" s="70" t="str">
        <f>MID(BD80,1,1)</f>
        <v>1</v>
      </c>
      <c r="BE81" s="68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66" t="s">
        <v>1582</v>
      </c>
      <c r="BR81" s="68" t="s">
        <v>1583</v>
      </c>
      <c r="BS81" s="70" t="str">
        <f>MID(BS76,5,1)</f>
        <v>0</v>
      </c>
      <c r="BT81" s="70" t="str">
        <f>MID(BT76,5,1)</f>
        <v>0</v>
      </c>
      <c r="BU81" s="68"/>
    </row>
    <row r="82" spans="38:73" ht="14.5" customHeight="1" x14ac:dyDescent="0.3">
      <c r="AL82" s="66" t="s">
        <v>1584</v>
      </c>
      <c r="AM82" s="68" t="s">
        <v>1585</v>
      </c>
      <c r="AN82" s="70">
        <v>1</v>
      </c>
      <c r="AO82" s="70" t="str">
        <f>MID(AO75,7,1)</f>
        <v>1</v>
      </c>
      <c r="AP82" s="68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31" t="s">
        <v>1586</v>
      </c>
      <c r="BB82" s="68" t="s">
        <v>1587</v>
      </c>
      <c r="BC82" s="70" t="str">
        <f>MID(BC80,2,1)</f>
        <v>1</v>
      </c>
      <c r="BD82" s="70" t="str">
        <f>MID(BD80,2,1)</f>
        <v>1</v>
      </c>
      <c r="BE82" s="68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66" t="s">
        <v>1588</v>
      </c>
      <c r="BR82" s="68" t="s">
        <v>1589</v>
      </c>
      <c r="BS82" s="70" t="str">
        <f>MID(BS76,6,1)</f>
        <v>0</v>
      </c>
      <c r="BT82" s="70" t="str">
        <f>MID(BT76,6,1)</f>
        <v>0</v>
      </c>
      <c r="BU82" s="68"/>
    </row>
    <row r="83" spans="38:73" ht="14.5" customHeight="1" x14ac:dyDescent="0.3">
      <c r="AL83" s="66" t="s">
        <v>1590</v>
      </c>
      <c r="AM83" s="68" t="s">
        <v>1591</v>
      </c>
      <c r="AN83" s="70">
        <v>0</v>
      </c>
      <c r="AO83" s="70" t="str">
        <f>MID(AO75,8,1)</f>
        <v>0</v>
      </c>
      <c r="AP83" s="68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31" t="s">
        <v>1592</v>
      </c>
      <c r="BB83" s="68" t="s">
        <v>1593</v>
      </c>
      <c r="BC83" s="70" t="str">
        <f>MID(BC80,3,1)</f>
        <v>1</v>
      </c>
      <c r="BD83" s="70" t="str">
        <f>MID(BD80,3,1)</f>
        <v>1</v>
      </c>
      <c r="BE83" s="68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66" t="s">
        <v>1594</v>
      </c>
      <c r="BR83" s="68" t="s">
        <v>1595</v>
      </c>
      <c r="BS83" s="70" t="str">
        <f>MID(BS76,7,1)</f>
        <v>0</v>
      </c>
      <c r="BT83" s="70" t="str">
        <f>MID(BT76,7,1)</f>
        <v>0</v>
      </c>
      <c r="BU83" s="68"/>
    </row>
    <row r="84" spans="38:73" ht="14.5" customHeight="1" x14ac:dyDescent="0.3">
      <c r="AL84" s="6" t="s">
        <v>1596</v>
      </c>
      <c r="AM84" s="71"/>
      <c r="AN84" s="70">
        <v>11000000</v>
      </c>
      <c r="AO84" s="70" t="str">
        <f>TEXT(V3,"00000000")</f>
        <v>11000000</v>
      </c>
      <c r="AP84" s="68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31" t="s">
        <v>1597</v>
      </c>
      <c r="BB84" s="68" t="s">
        <v>1598</v>
      </c>
      <c r="BC84" s="70" t="str">
        <f>MID(BC80,4,1)</f>
        <v>1</v>
      </c>
      <c r="BD84" s="70" t="str">
        <f>MID(BD80,4,1)</f>
        <v>1</v>
      </c>
      <c r="BE84" s="68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66" t="s">
        <v>1599</v>
      </c>
      <c r="BR84" s="68" t="s">
        <v>1600</v>
      </c>
      <c r="BS84" s="70" t="str">
        <f>MID(BS76,8,1)</f>
        <v>0</v>
      </c>
      <c r="BT84" s="70" t="str">
        <f>MID(BT76,8,1)</f>
        <v>0</v>
      </c>
      <c r="BU84" s="68"/>
    </row>
    <row r="85" spans="38:73" ht="14.5" x14ac:dyDescent="0.3">
      <c r="AL85" s="66" t="s">
        <v>1601</v>
      </c>
      <c r="AM85" s="68" t="s">
        <v>1602</v>
      </c>
      <c r="AN85" s="70">
        <v>1</v>
      </c>
      <c r="AO85" s="70" t="str">
        <f>MID(AO84,1,1)</f>
        <v>1</v>
      </c>
      <c r="AP85" s="68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31" t="s">
        <v>1603</v>
      </c>
      <c r="BB85" s="68" t="s">
        <v>1604</v>
      </c>
      <c r="BC85" s="70" t="str">
        <f>MID(BC80,5,1)</f>
        <v>1</v>
      </c>
      <c r="BD85" s="70" t="str">
        <f>MID(BD80,5,1)</f>
        <v>1</v>
      </c>
      <c r="BE85" s="68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66" t="s">
        <v>1605</v>
      </c>
      <c r="BR85" s="68"/>
      <c r="BS85" s="70" t="str">
        <f>TEXT(0,"00000000")</f>
        <v>00000000</v>
      </c>
      <c r="BT85" s="70" t="str">
        <f>AF11</f>
        <v>00000000</v>
      </c>
      <c r="BU85" s="68"/>
    </row>
    <row r="86" spans="38:73" ht="14.5" x14ac:dyDescent="0.3">
      <c r="AL86" s="66" t="s">
        <v>1606</v>
      </c>
      <c r="AM86" s="68" t="s">
        <v>1539</v>
      </c>
      <c r="AN86" s="68">
        <v>1</v>
      </c>
      <c r="AO86" s="70" t="str">
        <f>MID(AO84,2,1)</f>
        <v>1</v>
      </c>
      <c r="AP86" s="68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31" t="s">
        <v>1607</v>
      </c>
      <c r="BB86" s="68" t="s">
        <v>1608</v>
      </c>
      <c r="BC86" s="70" t="str">
        <f>MID(BC80,6,1)</f>
        <v>0</v>
      </c>
      <c r="BD86" s="70" t="str">
        <f>MID(BD80,6,1)</f>
        <v>0</v>
      </c>
      <c r="BE86" s="68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66" t="s">
        <v>1609</v>
      </c>
      <c r="BR86" s="68" t="s">
        <v>1610</v>
      </c>
      <c r="BS86" s="70" t="str">
        <f>MID(BS85,1,1)</f>
        <v>0</v>
      </c>
      <c r="BT86" s="70" t="str">
        <f>MID(BT85,1,1)</f>
        <v>0</v>
      </c>
      <c r="BU86" s="68"/>
    </row>
    <row r="87" spans="38:73" ht="14.5" x14ac:dyDescent="0.3">
      <c r="AL87" s="6" t="s">
        <v>1611</v>
      </c>
      <c r="AM87" s="71" t="s">
        <v>1612</v>
      </c>
      <c r="AN87" s="70">
        <v>11111111</v>
      </c>
      <c r="AO87" s="70" t="str">
        <f>TEXT(W3,"00000000")</f>
        <v>11111111</v>
      </c>
      <c r="AP87" s="68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31" t="s">
        <v>1613</v>
      </c>
      <c r="BB87" s="68" t="s">
        <v>1614</v>
      </c>
      <c r="BC87" s="70" t="str">
        <f>MID(BC80,7,1)</f>
        <v>0</v>
      </c>
      <c r="BD87" s="70" t="str">
        <f>MID(BD80,7,1)</f>
        <v>0</v>
      </c>
      <c r="BE87" s="68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66" t="s">
        <v>1615</v>
      </c>
      <c r="BR87" s="68" t="s">
        <v>1616</v>
      </c>
      <c r="BS87" s="70" t="str">
        <f>MID(BS85,2,1)</f>
        <v>0</v>
      </c>
      <c r="BT87" s="70" t="str">
        <f>MID(BT85,2,1)</f>
        <v>0</v>
      </c>
      <c r="BU87" s="68"/>
    </row>
    <row r="88" spans="38:73" ht="14.5" x14ac:dyDescent="0.3">
      <c r="AL88" s="66" t="s">
        <v>1617</v>
      </c>
      <c r="AM88" s="68" t="s">
        <v>1618</v>
      </c>
      <c r="AN88" s="70" t="str">
        <f>MID(AN87,1,1)</f>
        <v>1</v>
      </c>
      <c r="AO88" s="70" t="str">
        <f>MID(AO87,1,1)</f>
        <v>1</v>
      </c>
      <c r="AP88" s="68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31" t="s">
        <v>1619</v>
      </c>
      <c r="BB88" s="68" t="s">
        <v>1620</v>
      </c>
      <c r="BC88" s="70" t="str">
        <f>MID(BC80,8,1)</f>
        <v>1</v>
      </c>
      <c r="BD88" s="70" t="str">
        <f>MID(BD80,8,1)</f>
        <v>1</v>
      </c>
      <c r="BE88" s="68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66" t="s">
        <v>1621</v>
      </c>
      <c r="BR88" s="68" t="s">
        <v>1622</v>
      </c>
      <c r="BS88" s="70" t="str">
        <f>MID(BS85,3,1)</f>
        <v>0</v>
      </c>
      <c r="BT88" s="70" t="str">
        <f>MID(BT85,3,1)</f>
        <v>0</v>
      </c>
      <c r="BU88" s="68"/>
    </row>
    <row r="89" spans="38:73" ht="14.5" x14ac:dyDescent="0.3">
      <c r="AL89" s="66" t="s">
        <v>1623</v>
      </c>
      <c r="AM89" s="68" t="s">
        <v>2029</v>
      </c>
      <c r="AN89" s="70" t="str">
        <f>MID(AN87,2,1)</f>
        <v>1</v>
      </c>
      <c r="AO89" s="70" t="str">
        <f>MID(AO87,2,1)</f>
        <v>1</v>
      </c>
      <c r="AP89" s="68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9" t="s">
        <v>1624</v>
      </c>
      <c r="BB89" s="71"/>
      <c r="BC89" s="70" t="str">
        <f>TEXT(11111111,"00000000")</f>
        <v>11111111</v>
      </c>
      <c r="BD89" s="70" t="str">
        <f>AA8</f>
        <v>11111111</v>
      </c>
      <c r="BE89" s="68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66" t="s">
        <v>1625</v>
      </c>
      <c r="BR89" s="68" t="s">
        <v>1626</v>
      </c>
      <c r="BS89" s="70" t="str">
        <f>MID(BS85,4,1)</f>
        <v>0</v>
      </c>
      <c r="BT89" s="70" t="str">
        <f>MID(BT85,4,1)</f>
        <v>0</v>
      </c>
      <c r="BU89" s="68"/>
    </row>
    <row r="90" spans="38:73" ht="14.5" x14ac:dyDescent="0.3">
      <c r="AL90" s="66" t="s">
        <v>1627</v>
      </c>
      <c r="AM90" s="68" t="s">
        <v>2028</v>
      </c>
      <c r="AN90" s="70" t="str">
        <f>MID(AN87,3,1)</f>
        <v>1</v>
      </c>
      <c r="AO90" s="70" t="str">
        <f>MID(AO87,3,1)</f>
        <v>1</v>
      </c>
      <c r="AP90" s="68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31" t="s">
        <v>1628</v>
      </c>
      <c r="BB90" s="68" t="s">
        <v>1629</v>
      </c>
      <c r="BC90" s="70" t="str">
        <f>MID(BC89,1,1)</f>
        <v>1</v>
      </c>
      <c r="BD90" s="70" t="str">
        <f>MID(BD89,1,1)</f>
        <v>1</v>
      </c>
      <c r="BE90" s="68"/>
      <c r="BF90" s="44" t="s">
        <v>231</v>
      </c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66" t="s">
        <v>1630</v>
      </c>
      <c r="BR90" s="68" t="s">
        <v>1631</v>
      </c>
      <c r="BS90" s="70" t="str">
        <f>MID(BS85,5,1)</f>
        <v>0</v>
      </c>
      <c r="BT90" s="70" t="str">
        <f>MID(BT85,5,1)</f>
        <v>0</v>
      </c>
      <c r="BU90" s="68"/>
    </row>
    <row r="91" spans="38:73" ht="14.5" x14ac:dyDescent="0.3">
      <c r="AL91" s="66" t="s">
        <v>1632</v>
      </c>
      <c r="AM91" s="68" t="s">
        <v>1633</v>
      </c>
      <c r="AN91" s="70" t="str">
        <f>MID(AN87,4,1)</f>
        <v>1</v>
      </c>
      <c r="AO91" s="70" t="str">
        <f>MID(AO87,4,1)</f>
        <v>1</v>
      </c>
      <c r="AP91" s="68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31" t="s">
        <v>1634</v>
      </c>
      <c r="BB91" s="68" t="s">
        <v>1635</v>
      </c>
      <c r="BC91" s="70" t="str">
        <f>MID(BC89,2,1)</f>
        <v>1</v>
      </c>
      <c r="BD91" s="70" t="str">
        <f>MID(BD89,2,1)</f>
        <v>1</v>
      </c>
      <c r="BE91" s="68"/>
      <c r="BF91" s="44" t="s">
        <v>1636</v>
      </c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66" t="s">
        <v>1637</v>
      </c>
      <c r="BR91" s="68" t="s">
        <v>1638</v>
      </c>
      <c r="BS91" s="70" t="str">
        <f>MID(BS85,6,1)</f>
        <v>0</v>
      </c>
      <c r="BT91" s="70" t="str">
        <f>MID(BT85,6,1)</f>
        <v>0</v>
      </c>
      <c r="BU91" s="68"/>
    </row>
    <row r="92" spans="38:73" ht="14.5" x14ac:dyDescent="0.3">
      <c r="AL92" s="66" t="s">
        <v>1639</v>
      </c>
      <c r="AM92" s="68" t="s">
        <v>1640</v>
      </c>
      <c r="AN92" s="70" t="str">
        <f>MID(AN87,5,1)</f>
        <v>1</v>
      </c>
      <c r="AO92" s="70" t="str">
        <f>MID(AO87,5,1)</f>
        <v>1</v>
      </c>
      <c r="AP92" s="68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31" t="s">
        <v>1641</v>
      </c>
      <c r="BB92" s="68" t="s">
        <v>1642</v>
      </c>
      <c r="BC92" s="70" t="str">
        <f>MID(BC89,3,1)</f>
        <v>1</v>
      </c>
      <c r="BD92" s="70" t="str">
        <f>MID(BD89,3,1)</f>
        <v>1</v>
      </c>
      <c r="BE92" s="68"/>
      <c r="BF92" s="44" t="s">
        <v>1643</v>
      </c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66" t="s">
        <v>1644</v>
      </c>
      <c r="BR92" s="68" t="s">
        <v>1645</v>
      </c>
      <c r="BS92" s="70" t="str">
        <f>MID(BS85,7,1)</f>
        <v>0</v>
      </c>
      <c r="BT92" s="70" t="str">
        <f>MID(BT85,7,1)</f>
        <v>0</v>
      </c>
      <c r="BU92" s="68"/>
    </row>
    <row r="93" spans="38:73" ht="14.5" x14ac:dyDescent="0.3">
      <c r="AL93" s="66" t="s">
        <v>1646</v>
      </c>
      <c r="AM93" s="68" t="s">
        <v>1647</v>
      </c>
      <c r="AN93" s="70" t="str">
        <f>MID(AN87,6,1)</f>
        <v>1</v>
      </c>
      <c r="AO93" s="70" t="str">
        <f>MID(AO87,6,1)</f>
        <v>1</v>
      </c>
      <c r="AP93" s="68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31" t="s">
        <v>1648</v>
      </c>
      <c r="BB93" s="68" t="s">
        <v>1649</v>
      </c>
      <c r="BC93" s="70" t="str">
        <f>MID(BC89,4,1)</f>
        <v>1</v>
      </c>
      <c r="BD93" s="70" t="str">
        <f>MID(BD89,4,1)</f>
        <v>1</v>
      </c>
      <c r="BE93" s="68"/>
      <c r="BF93" s="44" t="s">
        <v>1650</v>
      </c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66" t="s">
        <v>1651</v>
      </c>
      <c r="BR93" s="68" t="s">
        <v>1652</v>
      </c>
      <c r="BS93" s="70" t="str">
        <f>MID(BS85,8,1)</f>
        <v>0</v>
      </c>
      <c r="BT93" s="70" t="str">
        <f>MID(BT85,8,1)</f>
        <v>0</v>
      </c>
      <c r="BU93" s="68"/>
    </row>
    <row r="94" spans="38:73" ht="14.5" x14ac:dyDescent="0.3">
      <c r="AL94" s="66" t="s">
        <v>1653</v>
      </c>
      <c r="AM94" s="68" t="s">
        <v>1654</v>
      </c>
      <c r="AN94" s="70" t="str">
        <f>MID(AN87,7,1)</f>
        <v>1</v>
      </c>
      <c r="AO94" s="70" t="str">
        <f>MID(AO87,7,1)</f>
        <v>1</v>
      </c>
      <c r="AP94" s="68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31" t="s">
        <v>1655</v>
      </c>
      <c r="BB94" s="68" t="s">
        <v>1656</v>
      </c>
      <c r="BC94" s="70" t="str">
        <f>MID(BC89,5,1)</f>
        <v>1</v>
      </c>
      <c r="BD94" s="70" t="str">
        <f>MID(BD89,5,1)</f>
        <v>1</v>
      </c>
      <c r="BE94" s="68"/>
      <c r="BF94" s="44" t="s">
        <v>1657</v>
      </c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66" t="s">
        <v>1658</v>
      </c>
      <c r="BR94" s="68"/>
      <c r="BS94" s="70" t="str">
        <f>TEXT(1,"00000000")</f>
        <v>00000001</v>
      </c>
      <c r="BT94" s="70" t="str">
        <f>AG11</f>
        <v>00000001</v>
      </c>
      <c r="BU94" s="68"/>
    </row>
    <row r="95" spans="38:73" ht="14.5" x14ac:dyDescent="0.3">
      <c r="AL95" s="66" t="s">
        <v>1659</v>
      </c>
      <c r="AM95" s="68" t="s">
        <v>1660</v>
      </c>
      <c r="AN95" s="70" t="str">
        <f>MID(AN87,8,1)</f>
        <v>1</v>
      </c>
      <c r="AO95" s="70" t="str">
        <f>MID(AO87,8,1)</f>
        <v>1</v>
      </c>
      <c r="AP95" s="68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31" t="s">
        <v>1661</v>
      </c>
      <c r="BB95" s="68" t="s">
        <v>1662</v>
      </c>
      <c r="BC95" s="70" t="str">
        <f>MID(BC89,6,1)</f>
        <v>1</v>
      </c>
      <c r="BD95" s="70" t="str">
        <f>MID(BD89,6,1)</f>
        <v>1</v>
      </c>
      <c r="BE95" s="68"/>
      <c r="BF95" s="44" t="s">
        <v>1663</v>
      </c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66" t="s">
        <v>1664</v>
      </c>
      <c r="BR95" s="68" t="s">
        <v>1665</v>
      </c>
      <c r="BS95" s="70" t="str">
        <f>MID(BS94,1,1)</f>
        <v>0</v>
      </c>
      <c r="BT95" s="70" t="str">
        <f>MID(BT94,1,1)</f>
        <v>0</v>
      </c>
      <c r="BU95" s="68"/>
    </row>
    <row r="96" spans="38:73" ht="14.5" x14ac:dyDescent="0.3">
      <c r="AL96" s="6" t="s">
        <v>1666</v>
      </c>
      <c r="AM96" s="71" t="s">
        <v>1667</v>
      </c>
      <c r="AN96" s="70">
        <v>11111111</v>
      </c>
      <c r="AO96" s="70" t="str">
        <f>TEXT(X3,"00000000")</f>
        <v>11111111</v>
      </c>
      <c r="AP96" s="68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31" t="s">
        <v>1668</v>
      </c>
      <c r="BB96" s="68" t="s">
        <v>1669</v>
      </c>
      <c r="BC96" s="70" t="str">
        <f>MID(BC89,7,1)</f>
        <v>1</v>
      </c>
      <c r="BD96" s="70" t="str">
        <f>MID(BD89,7,1)</f>
        <v>1</v>
      </c>
      <c r="BE96" s="68"/>
      <c r="BF96" s="44" t="s">
        <v>1670</v>
      </c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66" t="s">
        <v>1671</v>
      </c>
      <c r="BR96" s="68" t="s">
        <v>1672</v>
      </c>
      <c r="BS96" s="70" t="str">
        <f>MID(BS94,2,1)</f>
        <v>0</v>
      </c>
      <c r="BT96" s="70" t="str">
        <f>MID(BT94,2,1)</f>
        <v>0</v>
      </c>
      <c r="BU96" s="68"/>
    </row>
    <row r="97" spans="38:73" ht="14.5" x14ac:dyDescent="0.3">
      <c r="AL97" s="66" t="s">
        <v>1673</v>
      </c>
      <c r="AM97" s="68" t="s">
        <v>2030</v>
      </c>
      <c r="AN97" s="70" t="str">
        <f>MID(AN96,1,1)</f>
        <v>1</v>
      </c>
      <c r="AO97" s="70" t="str">
        <f>MID(AO96,1,1)</f>
        <v>1</v>
      </c>
      <c r="AP97" s="68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31" t="s">
        <v>1674</v>
      </c>
      <c r="BB97" s="68" t="s">
        <v>1675</v>
      </c>
      <c r="BC97" s="70" t="str">
        <f>MID(BC89,8,1)</f>
        <v>1</v>
      </c>
      <c r="BD97" s="70" t="str">
        <f>MID(BD89,8,1)</f>
        <v>1</v>
      </c>
      <c r="BE97" s="68"/>
      <c r="BF97" s="44" t="s">
        <v>1676</v>
      </c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66" t="s">
        <v>1677</v>
      </c>
      <c r="BR97" s="68" t="s">
        <v>1678</v>
      </c>
      <c r="BS97" s="70" t="str">
        <f>MID(BS94,3,1)</f>
        <v>0</v>
      </c>
      <c r="BT97" s="70" t="str">
        <f>MID(BT94,3,1)</f>
        <v>0</v>
      </c>
      <c r="BU97" s="68"/>
    </row>
    <row r="98" spans="38:73" ht="14.5" x14ac:dyDescent="0.3">
      <c r="AL98" s="66" t="s">
        <v>1679</v>
      </c>
      <c r="AM98" s="68" t="s">
        <v>1680</v>
      </c>
      <c r="AN98" s="70" t="str">
        <f>MID(AN96,2,1)</f>
        <v>1</v>
      </c>
      <c r="AO98" s="70" t="str">
        <f>MID(AO96,2,1)</f>
        <v>1</v>
      </c>
      <c r="AP98" s="68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9" t="s">
        <v>1681</v>
      </c>
      <c r="BB98" s="71"/>
      <c r="BC98" s="70" t="str">
        <f>TEXT(11111111,"00000000")</f>
        <v>11111111</v>
      </c>
      <c r="BD98" s="70" t="str">
        <f>AB8</f>
        <v>11111111</v>
      </c>
      <c r="BE98" s="68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66" t="s">
        <v>1682</v>
      </c>
      <c r="BR98" s="68" t="s">
        <v>1683</v>
      </c>
      <c r="BS98" s="70" t="str">
        <f>MID(BS94,4,1)</f>
        <v>0</v>
      </c>
      <c r="BT98" s="70" t="str">
        <f>MID(BT94,4,1)</f>
        <v>0</v>
      </c>
      <c r="BU98" s="68"/>
    </row>
    <row r="99" spans="38:73" ht="14.5" x14ac:dyDescent="0.3">
      <c r="AL99" s="66" t="s">
        <v>1684</v>
      </c>
      <c r="AM99" s="68" t="s">
        <v>1685</v>
      </c>
      <c r="AN99" s="70" t="str">
        <f>MID(AN96,3,1)</f>
        <v>1</v>
      </c>
      <c r="AO99" s="70" t="str">
        <f>MID(AO96,3,1)</f>
        <v>1</v>
      </c>
      <c r="AP99" s="68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31" t="s">
        <v>1686</v>
      </c>
      <c r="BB99" s="68" t="s">
        <v>1687</v>
      </c>
      <c r="BC99" s="70" t="str">
        <f>MID(BC98,1,1)</f>
        <v>1</v>
      </c>
      <c r="BD99" s="70" t="str">
        <f>MID(BD98,1,1)</f>
        <v>1</v>
      </c>
      <c r="BE99" s="68"/>
      <c r="BF99" s="44" t="s">
        <v>1688</v>
      </c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66" t="s">
        <v>1689</v>
      </c>
      <c r="BR99" s="68" t="s">
        <v>1690</v>
      </c>
      <c r="BS99" s="70" t="str">
        <f>MID(BS94,5,1)</f>
        <v>0</v>
      </c>
      <c r="BT99" s="70" t="str">
        <f>MID(BT94,5,1)</f>
        <v>0</v>
      </c>
      <c r="BU99" s="68"/>
    </row>
    <row r="100" spans="38:73" ht="14.5" x14ac:dyDescent="0.3">
      <c r="AL100" s="66" t="s">
        <v>1691</v>
      </c>
      <c r="AM100" s="68" t="s">
        <v>1692</v>
      </c>
      <c r="AN100" s="70" t="str">
        <f>MID(AN96,4,1)</f>
        <v>1</v>
      </c>
      <c r="AO100" s="70" t="str">
        <f>MID(AO96,4,1)</f>
        <v>1</v>
      </c>
      <c r="AP100" s="68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31" t="s">
        <v>1693</v>
      </c>
      <c r="BB100" s="68" t="s">
        <v>1694</v>
      </c>
      <c r="BC100" s="70" t="str">
        <f>MID(BC98,2,1)</f>
        <v>1</v>
      </c>
      <c r="BD100" s="70" t="str">
        <f>MID(BD98,2,1)</f>
        <v>1</v>
      </c>
      <c r="BE100" s="68"/>
      <c r="BF100" s="44" t="s">
        <v>323</v>
      </c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66" t="s">
        <v>1695</v>
      </c>
      <c r="BR100" s="68" t="s">
        <v>1696</v>
      </c>
      <c r="BS100" s="70" t="str">
        <f>MID(BS94,6,1)</f>
        <v>0</v>
      </c>
      <c r="BT100" s="70" t="str">
        <f>MID(BT94,6,1)</f>
        <v>0</v>
      </c>
      <c r="BU100" s="68"/>
    </row>
    <row r="101" spans="38:73" ht="14.5" x14ac:dyDescent="0.3">
      <c r="AL101" s="66" t="s">
        <v>1697</v>
      </c>
      <c r="AM101" s="68" t="s">
        <v>1698</v>
      </c>
      <c r="AN101" s="70" t="str">
        <f>MID(AN96,5,1)</f>
        <v>1</v>
      </c>
      <c r="AO101" s="70" t="str">
        <f>MID(AO96,5,1)</f>
        <v>1</v>
      </c>
      <c r="AP101" s="68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31" t="s">
        <v>1699</v>
      </c>
      <c r="BB101" s="68" t="s">
        <v>1700</v>
      </c>
      <c r="BC101" s="70" t="str">
        <f>MID(BC98,3,1)</f>
        <v>1</v>
      </c>
      <c r="BD101" s="70" t="str">
        <f>MID(BD98,3,1)</f>
        <v>1</v>
      </c>
      <c r="BE101" s="68"/>
      <c r="BF101" s="44" t="s">
        <v>1701</v>
      </c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66" t="s">
        <v>1702</v>
      </c>
      <c r="BR101" s="68" t="s">
        <v>1703</v>
      </c>
      <c r="BS101" s="70" t="str">
        <f>MID(BS94,7,1)</f>
        <v>0</v>
      </c>
      <c r="BT101" s="70" t="str">
        <f>MID(BT94,7,1)</f>
        <v>0</v>
      </c>
      <c r="BU101" s="68"/>
    </row>
    <row r="102" spans="38:73" ht="14.5" x14ac:dyDescent="0.3">
      <c r="AL102" s="66" t="s">
        <v>1704</v>
      </c>
      <c r="AM102" s="68" t="s">
        <v>1705</v>
      </c>
      <c r="AN102" s="70" t="str">
        <f>MID(AN96,6,1)</f>
        <v>1</v>
      </c>
      <c r="AO102" s="70" t="str">
        <f>MID(AO96,6,1)</f>
        <v>1</v>
      </c>
      <c r="AP102" s="68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31" t="s">
        <v>1706</v>
      </c>
      <c r="BB102" s="68" t="s">
        <v>1707</v>
      </c>
      <c r="BC102" s="70" t="str">
        <f>MID(BC98,4,1)</f>
        <v>1</v>
      </c>
      <c r="BD102" s="70" t="str">
        <f>MID(BD98,4,1)</f>
        <v>1</v>
      </c>
      <c r="BE102" s="68"/>
      <c r="BF102" s="44" t="s">
        <v>1708</v>
      </c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66" t="s">
        <v>1709</v>
      </c>
      <c r="BR102" s="68" t="s">
        <v>1710</v>
      </c>
      <c r="BS102" s="70" t="str">
        <f>MID(BS94,8,1)</f>
        <v>1</v>
      </c>
      <c r="BT102" s="70" t="str">
        <f>MID(BT94,8,1)</f>
        <v>1</v>
      </c>
      <c r="BU102" s="68"/>
    </row>
    <row r="103" spans="38:73" ht="14.5" x14ac:dyDescent="0.3">
      <c r="AL103" s="66" t="s">
        <v>1711</v>
      </c>
      <c r="AM103" s="68" t="s">
        <v>1712</v>
      </c>
      <c r="AN103" s="70" t="str">
        <f>MID(AN96,7,1)</f>
        <v>1</v>
      </c>
      <c r="AO103" s="70" t="str">
        <f>MID(AO96,7,1)</f>
        <v>1</v>
      </c>
      <c r="AP103" s="68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31" t="s">
        <v>1713</v>
      </c>
      <c r="BB103" s="68" t="s">
        <v>1714</v>
      </c>
      <c r="BC103" s="70" t="str">
        <f>MID(BC98,5,1)</f>
        <v>1</v>
      </c>
      <c r="BD103" s="70" t="str">
        <f>MID(BD98,5,1)</f>
        <v>1</v>
      </c>
      <c r="BE103" s="68"/>
      <c r="BF103" s="44" t="s">
        <v>1715</v>
      </c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66" t="s">
        <v>1716</v>
      </c>
      <c r="BR103" s="68"/>
      <c r="BS103" s="70" t="str">
        <f>TEXT(0,"00001000")</f>
        <v>00001000</v>
      </c>
      <c r="BT103" s="70" t="str">
        <f>AH11</f>
        <v>00001000</v>
      </c>
      <c r="BU103" s="68"/>
    </row>
    <row r="104" spans="38:73" ht="14.5" x14ac:dyDescent="0.3">
      <c r="AL104" s="66" t="s">
        <v>1717</v>
      </c>
      <c r="AM104" s="68" t="s">
        <v>1718</v>
      </c>
      <c r="AN104" s="70" t="str">
        <f>MID(AN96,8,1)</f>
        <v>1</v>
      </c>
      <c r="AO104" s="70" t="str">
        <f>MID(AO96,8,1)</f>
        <v>1</v>
      </c>
      <c r="AP104" s="68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31" t="s">
        <v>1719</v>
      </c>
      <c r="BB104" s="68" t="s">
        <v>1720</v>
      </c>
      <c r="BC104" s="70" t="str">
        <f>MID(BC98,6,1)</f>
        <v>1</v>
      </c>
      <c r="BD104" s="70" t="str">
        <f>MID(BD98,6,1)</f>
        <v>1</v>
      </c>
      <c r="BE104" s="68"/>
      <c r="BF104" s="44" t="s">
        <v>1721</v>
      </c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66" t="s">
        <v>1722</v>
      </c>
      <c r="BR104" s="68" t="s">
        <v>1723</v>
      </c>
      <c r="BS104" s="70" t="str">
        <f>MID(BS103,1,1)</f>
        <v>0</v>
      </c>
      <c r="BT104" s="70" t="str">
        <f>MID(BT103,1,1)</f>
        <v>0</v>
      </c>
      <c r="BU104" s="68"/>
    </row>
    <row r="105" spans="38:73" ht="14.5" x14ac:dyDescent="0.3"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31" t="s">
        <v>1724</v>
      </c>
      <c r="BB105" s="68" t="s">
        <v>1725</v>
      </c>
      <c r="BC105" s="70" t="str">
        <f>MID(BC98,7,1)</f>
        <v>1</v>
      </c>
      <c r="BD105" s="70" t="str">
        <f>MID(BD98,7,1)</f>
        <v>1</v>
      </c>
      <c r="BE105" s="68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66" t="s">
        <v>1726</v>
      </c>
      <c r="BR105" s="68" t="s">
        <v>1727</v>
      </c>
      <c r="BS105" s="70" t="str">
        <f>MID(BS103,2,1)</f>
        <v>0</v>
      </c>
      <c r="BT105" s="70" t="str">
        <f>MID(BT103,2,1)</f>
        <v>0</v>
      </c>
      <c r="BU105" s="68"/>
    </row>
    <row r="106" spans="38:73" ht="14.5" x14ac:dyDescent="0.3"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31" t="s">
        <v>1728</v>
      </c>
      <c r="BB106" s="68" t="s">
        <v>1729</v>
      </c>
      <c r="BC106" s="70" t="str">
        <f>MID(BC98,8,1)</f>
        <v>1</v>
      </c>
      <c r="BD106" s="70" t="str">
        <f>MID(BD98,8,1)</f>
        <v>1</v>
      </c>
      <c r="BE106" s="68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66" t="s">
        <v>1730</v>
      </c>
      <c r="BR106" s="68" t="s">
        <v>1731</v>
      </c>
      <c r="BS106" s="70" t="str">
        <f>MID(BS103,3,1)</f>
        <v>0</v>
      </c>
      <c r="BT106" s="70" t="str">
        <f>MID(BT103,3,1)</f>
        <v>0</v>
      </c>
      <c r="BU106" s="68"/>
    </row>
    <row r="107" spans="38:73" ht="14.5" x14ac:dyDescent="0.3"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9" t="s">
        <v>1732</v>
      </c>
      <c r="BB107" s="71"/>
      <c r="BC107" s="70" t="str">
        <f>TEXT(11111100,"00000000")</f>
        <v>11111100</v>
      </c>
      <c r="BD107" s="70" t="str">
        <f>AC8</f>
        <v>11111100</v>
      </c>
      <c r="BE107" s="68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66" t="s">
        <v>1733</v>
      </c>
      <c r="BR107" s="68" t="s">
        <v>1734</v>
      </c>
      <c r="BS107" s="70" t="str">
        <f>MID(BS103,4,1)</f>
        <v>0</v>
      </c>
      <c r="BT107" s="70" t="str">
        <f>MID(BT103,4,1)</f>
        <v>0</v>
      </c>
      <c r="BU107" s="68"/>
    </row>
    <row r="108" spans="38:73" ht="14.5" x14ac:dyDescent="0.3"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31" t="s">
        <v>1735</v>
      </c>
      <c r="BB108" s="68" t="s">
        <v>1736</v>
      </c>
      <c r="BC108" s="70" t="str">
        <f>MID(BC107,1,1)</f>
        <v>1</v>
      </c>
      <c r="BD108" s="70" t="str">
        <f>MID(BD107,1,1)</f>
        <v>1</v>
      </c>
      <c r="BE108" s="68"/>
      <c r="BF108" s="44" t="s">
        <v>1737</v>
      </c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66" t="s">
        <v>1738</v>
      </c>
      <c r="BR108" s="68" t="s">
        <v>1739</v>
      </c>
      <c r="BS108" s="70" t="str">
        <f>MID(BS103,5,1)</f>
        <v>1</v>
      </c>
      <c r="BT108" s="70" t="str">
        <f>MID(BT103,5,1)</f>
        <v>1</v>
      </c>
      <c r="BU108" s="68"/>
    </row>
    <row r="109" spans="38:73" ht="14.5" x14ac:dyDescent="0.3"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31" t="s">
        <v>1740</v>
      </c>
      <c r="BB109" s="68" t="s">
        <v>1741</v>
      </c>
      <c r="BC109" s="70" t="str">
        <f>MID(BC107,2,1)</f>
        <v>1</v>
      </c>
      <c r="BD109" s="70" t="str">
        <f>MID(BD107,2,1)</f>
        <v>1</v>
      </c>
      <c r="BE109" s="68"/>
      <c r="BF109" s="44" t="s">
        <v>1742</v>
      </c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66" t="s">
        <v>1743</v>
      </c>
      <c r="BR109" s="68" t="s">
        <v>1744</v>
      </c>
      <c r="BS109" s="70" t="str">
        <f>MID(BS103,6,1)</f>
        <v>0</v>
      </c>
      <c r="BT109" s="70" t="str">
        <f>MID(BT103,6,1)</f>
        <v>0</v>
      </c>
      <c r="BU109" s="68"/>
    </row>
    <row r="110" spans="38:73" ht="14.25" customHeight="1" x14ac:dyDescent="0.3"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31" t="s">
        <v>1745</v>
      </c>
      <c r="BB110" s="68" t="s">
        <v>1746</v>
      </c>
      <c r="BC110" s="70" t="str">
        <f>MID(BC107,3,1)</f>
        <v>1</v>
      </c>
      <c r="BD110" s="70" t="str">
        <f>MID(BD107,3,1)</f>
        <v>1</v>
      </c>
      <c r="BE110" s="68"/>
      <c r="BF110" s="44" t="s">
        <v>1747</v>
      </c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66" t="s">
        <v>1748</v>
      </c>
      <c r="BR110" s="68" t="s">
        <v>1543</v>
      </c>
      <c r="BS110" s="70" t="str">
        <f>MID(BS103,7,1)</f>
        <v>0</v>
      </c>
      <c r="BT110" s="70" t="str">
        <f>MID(BT103,7,1)</f>
        <v>0</v>
      </c>
      <c r="BU110" s="68"/>
    </row>
    <row r="111" spans="38:73" ht="14.25" customHeight="1" x14ac:dyDescent="0.3"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31" t="s">
        <v>1749</v>
      </c>
      <c r="BB111" s="68" t="s">
        <v>1750</v>
      </c>
      <c r="BC111" s="70" t="str">
        <f>MID(BC107,4,1)</f>
        <v>1</v>
      </c>
      <c r="BD111" s="70" t="str">
        <f>MID(BD107,4,1)</f>
        <v>1</v>
      </c>
      <c r="BE111" s="68"/>
      <c r="BF111" s="44" t="s">
        <v>1751</v>
      </c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66" t="s">
        <v>1752</v>
      </c>
      <c r="BR111" s="68" t="s">
        <v>1548</v>
      </c>
      <c r="BS111" s="70" t="str">
        <f>MID(BS103,8,1)</f>
        <v>0</v>
      </c>
      <c r="BT111" s="70" t="str">
        <f>MID(BT103,8,1)</f>
        <v>0</v>
      </c>
      <c r="BU111" s="68"/>
    </row>
    <row r="112" spans="38:73" ht="14.25" customHeight="1" x14ac:dyDescent="0.3"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31" t="s">
        <v>1753</v>
      </c>
      <c r="BB112" s="68" t="s">
        <v>1754</v>
      </c>
      <c r="BC112" s="70" t="str">
        <f>MID(BC107,5,1)</f>
        <v>1</v>
      </c>
      <c r="BD112" s="70" t="str">
        <f>MID(BD107,5,1)</f>
        <v>1</v>
      </c>
      <c r="BE112" s="68"/>
      <c r="BF112" s="44" t="s">
        <v>1755</v>
      </c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</row>
    <row r="113" spans="53:58" ht="14.25" customHeight="1" x14ac:dyDescent="0.3">
      <c r="BA113" s="31" t="s">
        <v>1756</v>
      </c>
      <c r="BB113" s="68" t="s">
        <v>1757</v>
      </c>
      <c r="BC113" s="70" t="str">
        <f>MID(BC107,6,1)</f>
        <v>1</v>
      </c>
      <c r="BD113" s="70" t="str">
        <f>MID(BD107,6,1)</f>
        <v>1</v>
      </c>
      <c r="BE113" s="68"/>
      <c r="BF113" s="44" t="s">
        <v>1758</v>
      </c>
    </row>
    <row r="114" spans="53:58" ht="14.25" customHeight="1" x14ac:dyDescent="0.3">
      <c r="BA114" s="31" t="s">
        <v>1759</v>
      </c>
      <c r="BB114" s="68" t="s">
        <v>1760</v>
      </c>
      <c r="BC114" s="70" t="str">
        <f>MID(BC107,7,1)</f>
        <v>0</v>
      </c>
      <c r="BD114" s="70" t="str">
        <f>MID(BD107,7,1)</f>
        <v>0</v>
      </c>
      <c r="BE114" s="68"/>
      <c r="BF114" s="44"/>
    </row>
    <row r="115" spans="53:58" ht="14.25" customHeight="1" x14ac:dyDescent="0.3">
      <c r="BA115" s="31" t="s">
        <v>1761</v>
      </c>
      <c r="BB115" s="68" t="s">
        <v>1762</v>
      </c>
      <c r="BC115" s="70" t="str">
        <f>MID(BC107,8,1)</f>
        <v>0</v>
      </c>
      <c r="BD115" s="70" t="str">
        <f>MID(BD107,8,1)</f>
        <v>0</v>
      </c>
      <c r="BE115" s="68"/>
      <c r="BF115" s="44"/>
    </row>
  </sheetData>
  <mergeCells count="5">
    <mergeCell ref="A20:M20"/>
    <mergeCell ref="AY5:AY24"/>
    <mergeCell ref="BA31:BE31"/>
    <mergeCell ref="BE11:BE18"/>
    <mergeCell ref="BE27:BE30"/>
  </mergeCells>
  <phoneticPr fontId="4" type="noConversion"/>
  <conditionalFormatting sqref="AN5:AO5">
    <cfRule type="uniqueValues" dxfId="460" priority="562"/>
  </conditionalFormatting>
  <conditionalFormatting sqref="AN6:AO6">
    <cfRule type="uniqueValues" dxfId="459" priority="561"/>
  </conditionalFormatting>
  <conditionalFormatting sqref="AN7:AO7">
    <cfRule type="uniqueValues" dxfId="458" priority="560"/>
  </conditionalFormatting>
  <conditionalFormatting sqref="AN8:AO8">
    <cfRule type="uniqueValues" dxfId="457" priority="559"/>
  </conditionalFormatting>
  <conditionalFormatting sqref="AN9:AO9">
    <cfRule type="uniqueValues" dxfId="456" priority="558"/>
  </conditionalFormatting>
  <conditionalFormatting sqref="AN10:AO10">
    <cfRule type="uniqueValues" dxfId="455" priority="557"/>
  </conditionalFormatting>
  <conditionalFormatting sqref="AN11:AO11">
    <cfRule type="uniqueValues" dxfId="454" priority="556"/>
  </conditionalFormatting>
  <conditionalFormatting sqref="AN12:AO12">
    <cfRule type="uniqueValues" dxfId="453" priority="555"/>
  </conditionalFormatting>
  <conditionalFormatting sqref="AN19:AO19">
    <cfRule type="uniqueValues" dxfId="452" priority="554"/>
  </conditionalFormatting>
  <conditionalFormatting sqref="AN20:AO20">
    <cfRule type="uniqueValues" dxfId="451" priority="553"/>
  </conditionalFormatting>
  <conditionalFormatting sqref="AN21:AO21">
    <cfRule type="uniqueValues" dxfId="450" priority="552"/>
  </conditionalFormatting>
  <conditionalFormatting sqref="AN25:AO25">
    <cfRule type="uniqueValues" dxfId="449" priority="551"/>
  </conditionalFormatting>
  <conditionalFormatting sqref="AN35:AO35">
    <cfRule type="uniqueValues" dxfId="448" priority="550"/>
  </conditionalFormatting>
  <conditionalFormatting sqref="AN36:AO36">
    <cfRule type="uniqueValues" dxfId="447" priority="549"/>
  </conditionalFormatting>
  <conditionalFormatting sqref="AN37:AO37">
    <cfRule type="uniqueValues" dxfId="446" priority="548"/>
  </conditionalFormatting>
  <conditionalFormatting sqref="AN38:AO38">
    <cfRule type="uniqueValues" dxfId="445" priority="547"/>
  </conditionalFormatting>
  <conditionalFormatting sqref="AN39:AO39">
    <cfRule type="uniqueValues" dxfId="444" priority="546"/>
  </conditionalFormatting>
  <conditionalFormatting sqref="AN40:AO40">
    <cfRule type="uniqueValues" dxfId="443" priority="545"/>
  </conditionalFormatting>
  <conditionalFormatting sqref="AN41:AO41">
    <cfRule type="uniqueValues" dxfId="442" priority="544"/>
  </conditionalFormatting>
  <conditionalFormatting sqref="AN42:AO42">
    <cfRule type="uniqueValues" dxfId="441" priority="543"/>
  </conditionalFormatting>
  <conditionalFormatting sqref="AN43:AO43">
    <cfRule type="uniqueValues" dxfId="440" priority="542"/>
  </conditionalFormatting>
  <conditionalFormatting sqref="AN44:AO44">
    <cfRule type="uniqueValues" dxfId="439" priority="532"/>
  </conditionalFormatting>
  <conditionalFormatting sqref="AN45:AO45">
    <cfRule type="uniqueValues" dxfId="438" priority="531"/>
  </conditionalFormatting>
  <conditionalFormatting sqref="AN46:AO46">
    <cfRule type="uniqueValues" dxfId="437" priority="530"/>
  </conditionalFormatting>
  <conditionalFormatting sqref="AN47:AO47">
    <cfRule type="uniqueValues" dxfId="436" priority="529"/>
  </conditionalFormatting>
  <conditionalFormatting sqref="AN48:AO48">
    <cfRule type="uniqueValues" dxfId="435" priority="528"/>
  </conditionalFormatting>
  <conditionalFormatting sqref="AN49:AO49">
    <cfRule type="uniqueValues" dxfId="434" priority="527"/>
  </conditionalFormatting>
  <conditionalFormatting sqref="AN50:AO50">
    <cfRule type="uniqueValues" dxfId="433" priority="526"/>
  </conditionalFormatting>
  <conditionalFormatting sqref="AN51:AO51">
    <cfRule type="uniqueValues" dxfId="432" priority="525"/>
  </conditionalFormatting>
  <conditionalFormatting sqref="AN55:AO55">
    <cfRule type="uniqueValues" dxfId="431" priority="535"/>
  </conditionalFormatting>
  <conditionalFormatting sqref="AN56:AO56">
    <cfRule type="uniqueValues" dxfId="430" priority="541"/>
  </conditionalFormatting>
  <conditionalFormatting sqref="AN57:AO57">
    <cfRule type="uniqueValues" dxfId="429" priority="540"/>
  </conditionalFormatting>
  <conditionalFormatting sqref="AN58:AO58">
    <cfRule type="uniqueValues" dxfId="428" priority="539"/>
  </conditionalFormatting>
  <conditionalFormatting sqref="AN59:AO59">
    <cfRule type="uniqueValues" dxfId="427" priority="538"/>
  </conditionalFormatting>
  <conditionalFormatting sqref="AN60:AO60">
    <cfRule type="uniqueValues" dxfId="426" priority="537"/>
  </conditionalFormatting>
  <conditionalFormatting sqref="AN61:AO61">
    <cfRule type="uniqueValues" dxfId="425" priority="536"/>
  </conditionalFormatting>
  <conditionalFormatting sqref="AN63:AO63">
    <cfRule type="uniqueValues" dxfId="424" priority="516"/>
  </conditionalFormatting>
  <conditionalFormatting sqref="AN64:AO64">
    <cfRule type="uniqueValues" dxfId="423" priority="524"/>
  </conditionalFormatting>
  <conditionalFormatting sqref="AN65:AO65">
    <cfRule type="uniqueValues" dxfId="422" priority="523"/>
  </conditionalFormatting>
  <conditionalFormatting sqref="AN66:AO66">
    <cfRule type="uniqueValues" dxfId="421" priority="522"/>
  </conditionalFormatting>
  <conditionalFormatting sqref="AN67:AO67">
    <cfRule type="uniqueValues" dxfId="420" priority="521"/>
  </conditionalFormatting>
  <conditionalFormatting sqref="AN68:AO68">
    <cfRule type="uniqueValues" dxfId="419" priority="520"/>
  </conditionalFormatting>
  <conditionalFormatting sqref="AN69:AO69">
    <cfRule type="uniqueValues" dxfId="418" priority="519"/>
  </conditionalFormatting>
  <conditionalFormatting sqref="AN70:AO70">
    <cfRule type="uniqueValues" dxfId="417" priority="518"/>
  </conditionalFormatting>
  <conditionalFormatting sqref="AN71:AO71">
    <cfRule type="uniqueValues" dxfId="416" priority="517"/>
  </conditionalFormatting>
  <conditionalFormatting sqref="AN72:AO72">
    <cfRule type="uniqueValues" dxfId="415" priority="515"/>
  </conditionalFormatting>
  <conditionalFormatting sqref="AN73:AO73">
    <cfRule type="uniqueValues" dxfId="414" priority="514"/>
  </conditionalFormatting>
  <conditionalFormatting sqref="AN74:AO74">
    <cfRule type="uniqueValues" dxfId="413" priority="513"/>
  </conditionalFormatting>
  <conditionalFormatting sqref="AN75:AO75">
    <cfRule type="uniqueValues" dxfId="412" priority="496"/>
  </conditionalFormatting>
  <conditionalFormatting sqref="AN76:AO76">
    <cfRule type="uniqueValues" dxfId="411" priority="504"/>
  </conditionalFormatting>
  <conditionalFormatting sqref="AN77:AO77">
    <cfRule type="uniqueValues" dxfId="410" priority="503"/>
  </conditionalFormatting>
  <conditionalFormatting sqref="AN78:AO78">
    <cfRule type="uniqueValues" dxfId="409" priority="502"/>
  </conditionalFormatting>
  <conditionalFormatting sqref="AN79:AO79">
    <cfRule type="uniqueValues" dxfId="408" priority="501"/>
  </conditionalFormatting>
  <conditionalFormatting sqref="AN80:AO80">
    <cfRule type="uniqueValues" dxfId="407" priority="500"/>
  </conditionalFormatting>
  <conditionalFormatting sqref="AN81:AO81">
    <cfRule type="uniqueValues" dxfId="406" priority="499"/>
  </conditionalFormatting>
  <conditionalFormatting sqref="AN82:AO82">
    <cfRule type="uniqueValues" dxfId="405" priority="498"/>
  </conditionalFormatting>
  <conditionalFormatting sqref="AN83:AO83">
    <cfRule type="uniqueValues" dxfId="404" priority="497"/>
  </conditionalFormatting>
  <conditionalFormatting sqref="AN84:AO84">
    <cfRule type="uniqueValues" dxfId="403" priority="495"/>
  </conditionalFormatting>
  <conditionalFormatting sqref="AN85:AO85">
    <cfRule type="uniqueValues" dxfId="402" priority="492"/>
  </conditionalFormatting>
  <conditionalFormatting sqref="AN86:AO86">
    <cfRule type="uniqueValues" dxfId="401" priority="491"/>
  </conditionalFormatting>
  <conditionalFormatting sqref="AN87:AO87">
    <cfRule type="uniqueValues" dxfId="400" priority="403"/>
  </conditionalFormatting>
  <conditionalFormatting sqref="AN88:AO88">
    <cfRule type="uniqueValues" dxfId="399" priority="411"/>
  </conditionalFormatting>
  <conditionalFormatting sqref="AN89:AO89">
    <cfRule type="uniqueValues" dxfId="398" priority="410"/>
  </conditionalFormatting>
  <conditionalFormatting sqref="AN90:AO90">
    <cfRule type="uniqueValues" dxfId="397" priority="409"/>
  </conditionalFormatting>
  <conditionalFormatting sqref="AN91:AO91">
    <cfRule type="uniqueValues" dxfId="396" priority="408"/>
  </conditionalFormatting>
  <conditionalFormatting sqref="AN92:AO92">
    <cfRule type="uniqueValues" dxfId="395" priority="407"/>
  </conditionalFormatting>
  <conditionalFormatting sqref="AN93:AO93">
    <cfRule type="uniqueValues" dxfId="394" priority="406"/>
  </conditionalFormatting>
  <conditionalFormatting sqref="AN94:AO94">
    <cfRule type="uniqueValues" dxfId="393" priority="405"/>
  </conditionalFormatting>
  <conditionalFormatting sqref="AN95:AO95">
    <cfRule type="uniqueValues" dxfId="392" priority="404"/>
  </conditionalFormatting>
  <conditionalFormatting sqref="AN96:AO96">
    <cfRule type="uniqueValues" dxfId="391" priority="394"/>
  </conditionalFormatting>
  <conditionalFormatting sqref="AN97:AO97">
    <cfRule type="uniqueValues" dxfId="390" priority="402"/>
  </conditionalFormatting>
  <conditionalFormatting sqref="AN98:AO98">
    <cfRule type="uniqueValues" dxfId="389" priority="401"/>
  </conditionalFormatting>
  <conditionalFormatting sqref="AN99:AO99">
    <cfRule type="uniqueValues" dxfId="388" priority="400"/>
  </conditionalFormatting>
  <conditionalFormatting sqref="AN100:AO100">
    <cfRule type="uniqueValues" dxfId="387" priority="399"/>
  </conditionalFormatting>
  <conditionalFormatting sqref="AN101:AO101">
    <cfRule type="uniqueValues" dxfId="386" priority="398"/>
  </conditionalFormatting>
  <conditionalFormatting sqref="AN102:AO102">
    <cfRule type="uniqueValues" dxfId="385" priority="397"/>
  </conditionalFormatting>
  <conditionalFormatting sqref="AN103:AO103">
    <cfRule type="uniqueValues" dxfId="384" priority="396"/>
  </conditionalFormatting>
  <conditionalFormatting sqref="AN104:AO104">
    <cfRule type="uniqueValues" dxfId="383" priority="395"/>
  </conditionalFormatting>
  <conditionalFormatting sqref="AW5:AX5">
    <cfRule type="uniqueValues" dxfId="382" priority="384"/>
  </conditionalFormatting>
  <conditionalFormatting sqref="AW6:AX6">
    <cfRule type="uniqueValues" dxfId="381" priority="388"/>
  </conditionalFormatting>
  <conditionalFormatting sqref="AW7:AX7">
    <cfRule type="uniqueValues" dxfId="380" priority="387"/>
  </conditionalFormatting>
  <conditionalFormatting sqref="AW8:AX8">
    <cfRule type="uniqueValues" dxfId="379" priority="386"/>
  </conditionalFormatting>
  <conditionalFormatting sqref="AW9:AX9">
    <cfRule type="uniqueValues" dxfId="378" priority="385"/>
  </conditionalFormatting>
  <conditionalFormatting sqref="AW10:AX10">
    <cfRule type="uniqueValues" dxfId="377" priority="379"/>
  </conditionalFormatting>
  <conditionalFormatting sqref="AW11:AX11">
    <cfRule type="uniqueValues" dxfId="376" priority="383"/>
  </conditionalFormatting>
  <conditionalFormatting sqref="AW12:AX12">
    <cfRule type="uniqueValues" dxfId="375" priority="382"/>
  </conditionalFormatting>
  <conditionalFormatting sqref="AW13:AX13">
    <cfRule type="uniqueValues" dxfId="374" priority="381"/>
  </conditionalFormatting>
  <conditionalFormatting sqref="AW14:AX14">
    <cfRule type="uniqueValues" dxfId="373" priority="380"/>
  </conditionalFormatting>
  <conditionalFormatting sqref="AW15:AX15">
    <cfRule type="uniqueValues" dxfId="372" priority="374"/>
  </conditionalFormatting>
  <conditionalFormatting sqref="AW16:AX16">
    <cfRule type="uniqueValues" dxfId="371" priority="378"/>
  </conditionalFormatting>
  <conditionalFormatting sqref="AW17:AX17">
    <cfRule type="uniqueValues" dxfId="370" priority="377"/>
  </conditionalFormatting>
  <conditionalFormatting sqref="AW18:AX18">
    <cfRule type="uniqueValues" dxfId="369" priority="376"/>
  </conditionalFormatting>
  <conditionalFormatting sqref="AW19:AX19">
    <cfRule type="uniqueValues" dxfId="368" priority="375"/>
  </conditionalFormatting>
  <conditionalFormatting sqref="AW20:AX20">
    <cfRule type="uniqueValues" dxfId="367" priority="369"/>
  </conditionalFormatting>
  <conditionalFormatting sqref="AW21:AX21">
    <cfRule type="uniqueValues" dxfId="366" priority="373"/>
  </conditionalFormatting>
  <conditionalFormatting sqref="AW22:AX22">
    <cfRule type="uniqueValues" dxfId="365" priority="372"/>
  </conditionalFormatting>
  <conditionalFormatting sqref="AW23:AX23">
    <cfRule type="uniqueValues" dxfId="364" priority="371"/>
  </conditionalFormatting>
  <conditionalFormatting sqref="AW24:AX24">
    <cfRule type="uniqueValues" dxfId="363" priority="370"/>
  </conditionalFormatting>
  <conditionalFormatting sqref="AW25:AX25">
    <cfRule type="uniqueValues" dxfId="362" priority="364"/>
  </conditionalFormatting>
  <conditionalFormatting sqref="AW26:AX26">
    <cfRule type="uniqueValues" dxfId="361" priority="368"/>
  </conditionalFormatting>
  <conditionalFormatting sqref="AW27:AX27">
    <cfRule type="uniqueValues" dxfId="360" priority="367"/>
  </conditionalFormatting>
  <conditionalFormatting sqref="AW28:AX28">
    <cfRule type="uniqueValues" dxfId="359" priority="366"/>
  </conditionalFormatting>
  <conditionalFormatting sqref="AW29:AX29">
    <cfRule type="uniqueValues" dxfId="358" priority="365"/>
  </conditionalFormatting>
  <conditionalFormatting sqref="AW30:AX30">
    <cfRule type="uniqueValues" dxfId="357" priority="359"/>
  </conditionalFormatting>
  <conditionalFormatting sqref="AW31:AX31">
    <cfRule type="uniqueValues" dxfId="356" priority="363"/>
  </conditionalFormatting>
  <conditionalFormatting sqref="AW32:AX32">
    <cfRule type="uniqueValues" dxfId="355" priority="362"/>
  </conditionalFormatting>
  <conditionalFormatting sqref="AW33:AX33">
    <cfRule type="uniqueValues" dxfId="354" priority="361"/>
  </conditionalFormatting>
  <conditionalFormatting sqref="AW34:AX34">
    <cfRule type="uniqueValues" dxfId="353" priority="360"/>
  </conditionalFormatting>
  <conditionalFormatting sqref="AW35:AX35">
    <cfRule type="uniqueValues" dxfId="352" priority="354"/>
  </conditionalFormatting>
  <conditionalFormatting sqref="AW36:AX36">
    <cfRule type="uniqueValues" dxfId="351" priority="358"/>
  </conditionalFormatting>
  <conditionalFormatting sqref="AW37:AX37">
    <cfRule type="uniqueValues" dxfId="350" priority="357"/>
  </conditionalFormatting>
  <conditionalFormatting sqref="AW38:AX38">
    <cfRule type="uniqueValues" dxfId="349" priority="356"/>
  </conditionalFormatting>
  <conditionalFormatting sqref="AW39:AX39">
    <cfRule type="uniqueValues" dxfId="348" priority="355"/>
  </conditionalFormatting>
  <conditionalFormatting sqref="AW40:AX40">
    <cfRule type="uniqueValues" dxfId="347" priority="349"/>
  </conditionalFormatting>
  <conditionalFormatting sqref="AW41:AX41">
    <cfRule type="uniqueValues" dxfId="346" priority="353"/>
  </conditionalFormatting>
  <conditionalFormatting sqref="AW42:AX42">
    <cfRule type="uniqueValues" dxfId="345" priority="352"/>
  </conditionalFormatting>
  <conditionalFormatting sqref="AW43:AX43">
    <cfRule type="uniqueValues" dxfId="344" priority="351"/>
  </conditionalFormatting>
  <conditionalFormatting sqref="AW44:AX44">
    <cfRule type="uniqueValues" dxfId="343" priority="350"/>
  </conditionalFormatting>
  <conditionalFormatting sqref="AW48:AX48">
    <cfRule type="uniqueValues" dxfId="342" priority="148"/>
  </conditionalFormatting>
  <conditionalFormatting sqref="AW49:AX49">
    <cfRule type="uniqueValues" dxfId="341" priority="151"/>
  </conditionalFormatting>
  <conditionalFormatting sqref="AW50:AX50">
    <cfRule type="uniqueValues" dxfId="340" priority="150"/>
  </conditionalFormatting>
  <conditionalFormatting sqref="AW51:AX51">
    <cfRule type="uniqueValues" dxfId="339" priority="149"/>
  </conditionalFormatting>
  <conditionalFormatting sqref="AW52:AX52">
    <cfRule type="uniqueValues" dxfId="338" priority="345"/>
  </conditionalFormatting>
  <conditionalFormatting sqref="AW55:AX55">
    <cfRule type="uniqueValues" dxfId="337" priority="145"/>
  </conditionalFormatting>
  <conditionalFormatting sqref="AW56:AX56">
    <cfRule type="uniqueValues" dxfId="336" priority="147"/>
  </conditionalFormatting>
  <conditionalFormatting sqref="AW57:AX57">
    <cfRule type="uniqueValues" dxfId="335" priority="146"/>
  </conditionalFormatting>
  <conditionalFormatting sqref="BC5:BD5">
    <cfRule type="uniqueValues" dxfId="334" priority="133"/>
  </conditionalFormatting>
  <conditionalFormatting sqref="BC6:BD6">
    <cfRule type="uniqueValues" dxfId="333" priority="136"/>
  </conditionalFormatting>
  <conditionalFormatting sqref="BC7:BD7">
    <cfRule type="uniqueValues" dxfId="332" priority="135"/>
  </conditionalFormatting>
  <conditionalFormatting sqref="BC8:BD8">
    <cfRule type="uniqueValues" dxfId="331" priority="134"/>
  </conditionalFormatting>
  <conditionalFormatting sqref="BC11:BD11 BC15:BD15">
    <cfRule type="uniqueValues" dxfId="330" priority="132"/>
  </conditionalFormatting>
  <conditionalFormatting sqref="BC12:BD12 BC16:BD16">
    <cfRule type="uniqueValues" dxfId="329" priority="131"/>
  </conditionalFormatting>
  <conditionalFormatting sqref="BC13:BD13 BC17:BD17">
    <cfRule type="uniqueValues" dxfId="328" priority="130"/>
  </conditionalFormatting>
  <conditionalFormatting sqref="BC14:BD14 BC18:BD18">
    <cfRule type="uniqueValues" dxfId="327" priority="129"/>
  </conditionalFormatting>
  <conditionalFormatting sqref="BC26:BD26 BC30:BD30">
    <cfRule type="uniqueValues" dxfId="326" priority="125"/>
  </conditionalFormatting>
  <conditionalFormatting sqref="BC27:BD27 BC23:BD23">
    <cfRule type="uniqueValues" dxfId="325" priority="128"/>
  </conditionalFormatting>
  <conditionalFormatting sqref="BC28:BD28 BC24:BD24">
    <cfRule type="uniqueValues" dxfId="324" priority="127"/>
  </conditionalFormatting>
  <conditionalFormatting sqref="BC29:BD29 BC25:BD25">
    <cfRule type="uniqueValues" dxfId="323" priority="126"/>
  </conditionalFormatting>
  <conditionalFormatting sqref="BC37:BD37">
    <cfRule type="uniqueValues" dxfId="322" priority="335"/>
  </conditionalFormatting>
  <conditionalFormatting sqref="BC42:BD42 BC46:BD46">
    <cfRule type="uniqueValues" dxfId="321" priority="318"/>
  </conditionalFormatting>
  <conditionalFormatting sqref="BC43:BD43 BC47:BD47">
    <cfRule type="uniqueValues" dxfId="320" priority="317"/>
  </conditionalFormatting>
  <conditionalFormatting sqref="BC44:BD44 BC48:BD48">
    <cfRule type="uniqueValues" dxfId="319" priority="316"/>
  </conditionalFormatting>
  <conditionalFormatting sqref="BC45:BD45 BC49:BD49">
    <cfRule type="uniqueValues" dxfId="318" priority="315"/>
  </conditionalFormatting>
  <conditionalFormatting sqref="BC51:BD51">
    <cfRule type="uniqueValues" dxfId="317" priority="314"/>
  </conditionalFormatting>
  <conditionalFormatting sqref="BC52:BD52">
    <cfRule type="uniqueValues" dxfId="316" priority="313"/>
  </conditionalFormatting>
  <conditionalFormatting sqref="BC57:BD57">
    <cfRule type="uniqueValues" dxfId="315" priority="310"/>
  </conditionalFormatting>
  <conditionalFormatting sqref="BC58:BD58">
    <cfRule type="uniqueValues" dxfId="314" priority="309"/>
  </conditionalFormatting>
  <conditionalFormatting sqref="BC59:BD59">
    <cfRule type="uniqueValues" dxfId="313" priority="308"/>
  </conditionalFormatting>
  <conditionalFormatting sqref="BC62:BD62 BC66:BD66">
    <cfRule type="uniqueValues" dxfId="312" priority="307"/>
  </conditionalFormatting>
  <conditionalFormatting sqref="BC63:BD63 BC67:BD67">
    <cfRule type="uniqueValues" dxfId="311" priority="306"/>
  </conditionalFormatting>
  <conditionalFormatting sqref="BC64:BD64 BC68:BD68">
    <cfRule type="uniqueValues" dxfId="310" priority="305"/>
  </conditionalFormatting>
  <conditionalFormatting sqref="BC65:BD65 BC69:BD69">
    <cfRule type="uniqueValues" dxfId="309" priority="304"/>
  </conditionalFormatting>
  <conditionalFormatting sqref="BC72:BD72 BC76:BD76">
    <cfRule type="uniqueValues" dxfId="308" priority="303"/>
  </conditionalFormatting>
  <conditionalFormatting sqref="BC73:BD73 BC77:BD77">
    <cfRule type="uniqueValues" dxfId="307" priority="302"/>
  </conditionalFormatting>
  <conditionalFormatting sqref="BC74:BD74 BC78:BD78">
    <cfRule type="uniqueValues" dxfId="306" priority="301"/>
  </conditionalFormatting>
  <conditionalFormatting sqref="BC75:BD75 BC79:BD79">
    <cfRule type="uniqueValues" dxfId="305" priority="300"/>
  </conditionalFormatting>
  <conditionalFormatting sqref="BC81:BD81 BC85:BD85">
    <cfRule type="uniqueValues" dxfId="304" priority="279"/>
  </conditionalFormatting>
  <conditionalFormatting sqref="BC82:BD82 BC86:BD86">
    <cfRule type="uniqueValues" dxfId="303" priority="278"/>
  </conditionalFormatting>
  <conditionalFormatting sqref="BC83:BD83 BC87:BD87">
    <cfRule type="uniqueValues" dxfId="302" priority="277"/>
  </conditionalFormatting>
  <conditionalFormatting sqref="BC84:BD84 BC88:BD88">
    <cfRule type="uniqueValues" dxfId="301" priority="276"/>
  </conditionalFormatting>
  <conditionalFormatting sqref="BC90:BD90 BC94:BD94">
    <cfRule type="uniqueValues" dxfId="300" priority="275"/>
  </conditionalFormatting>
  <conditionalFormatting sqref="BC91:BD91 BC95:BD95">
    <cfRule type="uniqueValues" dxfId="299" priority="274"/>
  </conditionalFormatting>
  <conditionalFormatting sqref="BC92:BD92 BC96:BD96">
    <cfRule type="uniqueValues" dxfId="298" priority="273"/>
  </conditionalFormatting>
  <conditionalFormatting sqref="BC93:BD93 BC97:BD97">
    <cfRule type="uniqueValues" dxfId="297" priority="272"/>
  </conditionalFormatting>
  <conditionalFormatting sqref="BC99:BD99 BC103:BD103">
    <cfRule type="uniqueValues" dxfId="296" priority="263"/>
  </conditionalFormatting>
  <conditionalFormatting sqref="BC100:BD100 BC104:BD104">
    <cfRule type="uniqueValues" dxfId="295" priority="262"/>
  </conditionalFormatting>
  <conditionalFormatting sqref="BC101:BD101 BC105:BD105">
    <cfRule type="uniqueValues" dxfId="294" priority="261"/>
  </conditionalFormatting>
  <conditionalFormatting sqref="BC102:BD102 BC106:BD106">
    <cfRule type="uniqueValues" dxfId="293" priority="260"/>
  </conditionalFormatting>
  <conditionalFormatting sqref="BC108:BD108 BC112:BD112">
    <cfRule type="uniqueValues" dxfId="292" priority="259"/>
  </conditionalFormatting>
  <conditionalFormatting sqref="BC109:BD109 BC113:BD113">
    <cfRule type="uniqueValues" dxfId="291" priority="258"/>
  </conditionalFormatting>
  <conditionalFormatting sqref="BC110:BD110 BC114:BD114">
    <cfRule type="uniqueValues" dxfId="290" priority="257"/>
  </conditionalFormatting>
  <conditionalFormatting sqref="BC111:BD111 BC115:BD115">
    <cfRule type="uniqueValues" dxfId="289" priority="256"/>
  </conditionalFormatting>
  <conditionalFormatting sqref="BL5:BM5">
    <cfRule type="uniqueValues" dxfId="288" priority="124"/>
  </conditionalFormatting>
  <conditionalFormatting sqref="BL6:BM6 BL10:BM10">
    <cfRule type="uniqueValues" dxfId="287" priority="44"/>
  </conditionalFormatting>
  <conditionalFormatting sqref="BL7:BM7 BL11:BM11">
    <cfRule type="uniqueValues" dxfId="286" priority="43"/>
  </conditionalFormatting>
  <conditionalFormatting sqref="BL8:BM8 BL12:BM12">
    <cfRule type="uniqueValues" dxfId="285" priority="42"/>
  </conditionalFormatting>
  <conditionalFormatting sqref="BL9:BM9 BL13:BM13">
    <cfRule type="uniqueValues" dxfId="284" priority="41"/>
  </conditionalFormatting>
  <conditionalFormatting sqref="BL17:BM17">
    <cfRule type="uniqueValues" dxfId="283" priority="40"/>
  </conditionalFormatting>
  <conditionalFormatting sqref="BL18:BM18">
    <cfRule type="uniqueValues" dxfId="282" priority="39"/>
  </conditionalFormatting>
  <conditionalFormatting sqref="BL19:BM19">
    <cfRule type="uniqueValues" dxfId="281" priority="38"/>
  </conditionalFormatting>
  <conditionalFormatting sqref="BL23:BM23">
    <cfRule type="uniqueValues" dxfId="280" priority="35"/>
  </conditionalFormatting>
  <conditionalFormatting sqref="BL24:BM24 BL28:BM28">
    <cfRule type="uniqueValues" dxfId="279" priority="34"/>
  </conditionalFormatting>
  <conditionalFormatting sqref="BL25:BM25 BL29:BM29">
    <cfRule type="uniqueValues" dxfId="278" priority="33"/>
  </conditionalFormatting>
  <conditionalFormatting sqref="BL26:BM26 BL30:BM30">
    <cfRule type="uniqueValues" dxfId="277" priority="32"/>
  </conditionalFormatting>
  <conditionalFormatting sqref="BL27:BM27 BL31:BM31">
    <cfRule type="uniqueValues" dxfId="276" priority="31"/>
  </conditionalFormatting>
  <conditionalFormatting sqref="BL35:BM35">
    <cfRule type="uniqueValues" dxfId="275" priority="30"/>
  </conditionalFormatting>
  <conditionalFormatting sqref="BL36:BM36 BL40:BM40">
    <cfRule type="uniqueValues" dxfId="274" priority="29"/>
  </conditionalFormatting>
  <conditionalFormatting sqref="BL37:BM37 BL41:BM41">
    <cfRule type="uniqueValues" dxfId="273" priority="28"/>
  </conditionalFormatting>
  <conditionalFormatting sqref="BL38:BM38 BL42:BM42">
    <cfRule type="uniqueValues" dxfId="272" priority="27"/>
  </conditionalFormatting>
  <conditionalFormatting sqref="BL39:BM39 BL43:BM43">
    <cfRule type="uniqueValues" dxfId="271" priority="26"/>
  </conditionalFormatting>
  <conditionalFormatting sqref="BL47:BM47">
    <cfRule type="uniqueValues" dxfId="270" priority="25"/>
  </conditionalFormatting>
  <conditionalFormatting sqref="BL48:BM48">
    <cfRule type="uniqueValues" dxfId="269" priority="563"/>
  </conditionalFormatting>
  <conditionalFormatting sqref="BL49:BM49">
    <cfRule type="uniqueValues" dxfId="268" priority="564"/>
  </conditionalFormatting>
  <conditionalFormatting sqref="BL50:BM50">
    <cfRule type="uniqueValues" dxfId="267" priority="565"/>
  </conditionalFormatting>
  <conditionalFormatting sqref="BL54:BM54">
    <cfRule type="uniqueValues" dxfId="266" priority="20"/>
  </conditionalFormatting>
  <conditionalFormatting sqref="BL55:BM55">
    <cfRule type="uniqueValues" dxfId="265" priority="19"/>
  </conditionalFormatting>
  <conditionalFormatting sqref="BL56:BM56">
    <cfRule type="uniqueValues" dxfId="264" priority="18"/>
  </conditionalFormatting>
  <conditionalFormatting sqref="BS5:BT5">
    <cfRule type="uniqueValues" dxfId="263" priority="490"/>
  </conditionalFormatting>
  <conditionalFormatting sqref="BS6:BT6">
    <cfRule type="uniqueValues" dxfId="262" priority="489"/>
  </conditionalFormatting>
  <conditionalFormatting sqref="BS7:BT7">
    <cfRule type="uniqueValues" dxfId="261" priority="488"/>
  </conditionalFormatting>
  <conditionalFormatting sqref="BS8:BT8">
    <cfRule type="uniqueValues" dxfId="260" priority="487"/>
  </conditionalFormatting>
  <conditionalFormatting sqref="BS9:BT9">
    <cfRule type="uniqueValues" dxfId="259" priority="486"/>
  </conditionalFormatting>
  <conditionalFormatting sqref="BS10:BT10">
    <cfRule type="uniqueValues" dxfId="258" priority="485"/>
  </conditionalFormatting>
  <conditionalFormatting sqref="BS11:BT11">
    <cfRule type="uniqueValues" dxfId="257" priority="484"/>
  </conditionalFormatting>
  <conditionalFormatting sqref="BS12:BT12">
    <cfRule type="uniqueValues" dxfId="256" priority="483"/>
  </conditionalFormatting>
  <conditionalFormatting sqref="BS13:BT13">
    <cfRule type="uniqueValues" dxfId="255" priority="482"/>
  </conditionalFormatting>
  <conditionalFormatting sqref="BS14:BT14">
    <cfRule type="uniqueValues" dxfId="254" priority="481"/>
  </conditionalFormatting>
  <conditionalFormatting sqref="BS15:BT15">
    <cfRule type="uniqueValues" dxfId="253" priority="480"/>
  </conditionalFormatting>
  <conditionalFormatting sqref="BS16:BT16">
    <cfRule type="uniqueValues" dxfId="252" priority="479"/>
  </conditionalFormatting>
  <conditionalFormatting sqref="BS17:BT17">
    <cfRule type="uniqueValues" dxfId="251" priority="478"/>
  </conditionalFormatting>
  <conditionalFormatting sqref="BS18:BT18">
    <cfRule type="uniqueValues" dxfId="250" priority="477"/>
  </conditionalFormatting>
  <conditionalFormatting sqref="BS19:BT19">
    <cfRule type="uniqueValues" dxfId="249" priority="476"/>
  </conditionalFormatting>
  <conditionalFormatting sqref="BS20:BT20">
    <cfRule type="uniqueValues" dxfId="248" priority="475"/>
  </conditionalFormatting>
  <conditionalFormatting sqref="BS21:BT21">
    <cfRule type="uniqueValues" dxfId="247" priority="474"/>
  </conditionalFormatting>
  <conditionalFormatting sqref="BS22:BT22">
    <cfRule type="uniqueValues" dxfId="246" priority="473"/>
  </conditionalFormatting>
  <conditionalFormatting sqref="BS23:BT23">
    <cfRule type="uniqueValues" dxfId="245" priority="472"/>
  </conditionalFormatting>
  <conditionalFormatting sqref="BS24:BT24">
    <cfRule type="uniqueValues" dxfId="244" priority="471"/>
  </conditionalFormatting>
  <conditionalFormatting sqref="BS25:BT25">
    <cfRule type="uniqueValues" dxfId="243" priority="470"/>
  </conditionalFormatting>
  <conditionalFormatting sqref="BS26:BT26">
    <cfRule type="uniqueValues" dxfId="242" priority="469"/>
  </conditionalFormatting>
  <conditionalFormatting sqref="BS27:BT27">
    <cfRule type="uniqueValues" dxfId="241" priority="468"/>
  </conditionalFormatting>
  <conditionalFormatting sqref="BS31:BT31">
    <cfRule type="uniqueValues" dxfId="240" priority="467"/>
  </conditionalFormatting>
  <conditionalFormatting sqref="BS32:BT32">
    <cfRule type="uniqueValues" dxfId="239" priority="458"/>
  </conditionalFormatting>
  <conditionalFormatting sqref="BS33:BT33">
    <cfRule type="uniqueValues" dxfId="238" priority="457"/>
  </conditionalFormatting>
  <conditionalFormatting sqref="BS34:BT34">
    <cfRule type="uniqueValues" dxfId="237" priority="456"/>
  </conditionalFormatting>
  <conditionalFormatting sqref="BS35:BT35">
    <cfRule type="uniqueValues" dxfId="236" priority="455"/>
  </conditionalFormatting>
  <conditionalFormatting sqref="BS36:BT36">
    <cfRule type="uniqueValues" dxfId="235" priority="454"/>
  </conditionalFormatting>
  <conditionalFormatting sqref="BS37:BT37">
    <cfRule type="uniqueValues" dxfId="234" priority="453"/>
  </conditionalFormatting>
  <conditionalFormatting sqref="BS38:BT38">
    <cfRule type="uniqueValues" dxfId="233" priority="452"/>
  </conditionalFormatting>
  <conditionalFormatting sqref="BS39:BT39">
    <cfRule type="uniqueValues" dxfId="232" priority="451"/>
  </conditionalFormatting>
  <conditionalFormatting sqref="BS40:BT40">
    <cfRule type="uniqueValues" dxfId="231" priority="255"/>
  </conditionalFormatting>
  <conditionalFormatting sqref="BS41:BT41">
    <cfRule type="uniqueValues" dxfId="230" priority="254"/>
  </conditionalFormatting>
  <conditionalFormatting sqref="BS42:BT42">
    <cfRule type="uniqueValues" dxfId="229" priority="253"/>
  </conditionalFormatting>
  <conditionalFormatting sqref="BS43:BT43">
    <cfRule type="uniqueValues" dxfId="228" priority="252"/>
  </conditionalFormatting>
  <conditionalFormatting sqref="BS44:BT44">
    <cfRule type="uniqueValues" dxfId="227" priority="251"/>
  </conditionalFormatting>
  <conditionalFormatting sqref="BS45:BT45">
    <cfRule type="uniqueValues" dxfId="226" priority="250"/>
  </conditionalFormatting>
  <conditionalFormatting sqref="BS46:BT46">
    <cfRule type="uniqueValues" dxfId="225" priority="249"/>
  </conditionalFormatting>
  <conditionalFormatting sqref="BS47:BT47">
    <cfRule type="uniqueValues" dxfId="224" priority="248"/>
  </conditionalFormatting>
  <conditionalFormatting sqref="BS48:BT48">
    <cfRule type="uniqueValues" dxfId="223" priority="247"/>
  </conditionalFormatting>
  <conditionalFormatting sqref="BS49:BT49">
    <cfRule type="uniqueValues" dxfId="222" priority="246"/>
  </conditionalFormatting>
  <conditionalFormatting sqref="BS50:BT50">
    <cfRule type="uniqueValues" dxfId="221" priority="245"/>
  </conditionalFormatting>
  <conditionalFormatting sqref="BS51:BT51">
    <cfRule type="uniqueValues" dxfId="220" priority="244"/>
  </conditionalFormatting>
  <conditionalFormatting sqref="BS52:BT52">
    <cfRule type="uniqueValues" dxfId="219" priority="243"/>
  </conditionalFormatting>
  <conditionalFormatting sqref="BS53:BT53">
    <cfRule type="uniqueValues" dxfId="218" priority="242"/>
  </conditionalFormatting>
  <conditionalFormatting sqref="BS54:BT54">
    <cfRule type="uniqueValues" dxfId="217" priority="241"/>
  </conditionalFormatting>
  <conditionalFormatting sqref="BS55:BT55">
    <cfRule type="uniqueValues" dxfId="216" priority="240"/>
  </conditionalFormatting>
  <conditionalFormatting sqref="BS56:BT56">
    <cfRule type="uniqueValues" dxfId="215" priority="239"/>
  </conditionalFormatting>
  <conditionalFormatting sqref="BS57:BT57">
    <cfRule type="uniqueValues" dxfId="214" priority="238"/>
  </conditionalFormatting>
  <conditionalFormatting sqref="BS58:BT58">
    <cfRule type="uniqueValues" dxfId="213" priority="237"/>
  </conditionalFormatting>
  <conditionalFormatting sqref="BS59:BT59 BS63:BT63">
    <cfRule type="uniqueValues" dxfId="212" priority="163"/>
  </conditionalFormatting>
  <conditionalFormatting sqref="BS60:BT60 BS64:BT64">
    <cfRule type="uniqueValues" dxfId="211" priority="162"/>
  </conditionalFormatting>
  <conditionalFormatting sqref="BS61:BT61 BS65:BT65">
    <cfRule type="uniqueValues" dxfId="210" priority="161"/>
  </conditionalFormatting>
  <conditionalFormatting sqref="BS62:BT62 BS66:BT66">
    <cfRule type="uniqueValues" dxfId="209" priority="160"/>
  </conditionalFormatting>
  <conditionalFormatting sqref="BS67:BT67">
    <cfRule type="uniqueValues" dxfId="208" priority="228"/>
  </conditionalFormatting>
  <conditionalFormatting sqref="BS68:BT68 BS72:BT72">
    <cfRule type="uniqueValues" dxfId="207" priority="167"/>
  </conditionalFormatting>
  <conditionalFormatting sqref="BS69:BT69 BS73:BT73">
    <cfRule type="uniqueValues" dxfId="206" priority="166"/>
  </conditionalFormatting>
  <conditionalFormatting sqref="BS70:BT70 BS74:BT74">
    <cfRule type="uniqueValues" dxfId="205" priority="165"/>
  </conditionalFormatting>
  <conditionalFormatting sqref="BS71:BT71 BS75:BT75">
    <cfRule type="uniqueValues" dxfId="204" priority="164"/>
  </conditionalFormatting>
  <conditionalFormatting sqref="BS76:BT76">
    <cfRule type="uniqueValues" dxfId="203" priority="219"/>
  </conditionalFormatting>
  <conditionalFormatting sqref="BS77:BT77 BS81:BT81">
    <cfRule type="uniqueValues" dxfId="202" priority="171"/>
  </conditionalFormatting>
  <conditionalFormatting sqref="BS78:BT78 BS82:BT82">
    <cfRule type="uniqueValues" dxfId="201" priority="170"/>
  </conditionalFormatting>
  <conditionalFormatting sqref="BS79:BT79 BS83:BT83">
    <cfRule type="uniqueValues" dxfId="200" priority="169"/>
  </conditionalFormatting>
  <conditionalFormatting sqref="BS80:BT80 BS84:BT84">
    <cfRule type="uniqueValues" dxfId="199" priority="168"/>
  </conditionalFormatting>
  <conditionalFormatting sqref="BS85:BT85">
    <cfRule type="uniqueValues" dxfId="198" priority="210"/>
  </conditionalFormatting>
  <conditionalFormatting sqref="BS86:BT86 BS90:BT90">
    <cfRule type="uniqueValues" dxfId="197" priority="175"/>
  </conditionalFormatting>
  <conditionalFormatting sqref="BS87:BT87 BS91:BT91">
    <cfRule type="uniqueValues" dxfId="196" priority="174"/>
  </conditionalFormatting>
  <conditionalFormatting sqref="BS88:BT88 BS92:BT92">
    <cfRule type="uniqueValues" dxfId="195" priority="173"/>
  </conditionalFormatting>
  <conditionalFormatting sqref="BS89:BT89 BS93:BT93">
    <cfRule type="uniqueValues" dxfId="194" priority="172"/>
  </conditionalFormatting>
  <conditionalFormatting sqref="BS94:BT94">
    <cfRule type="uniqueValues" dxfId="193" priority="201"/>
  </conditionalFormatting>
  <conditionalFormatting sqref="BS95:BT95 BS99:BT99">
    <cfRule type="uniqueValues" dxfId="192" priority="179"/>
  </conditionalFormatting>
  <conditionalFormatting sqref="BS96:BT96 BS100:BT100">
    <cfRule type="uniqueValues" dxfId="191" priority="178"/>
  </conditionalFormatting>
  <conditionalFormatting sqref="BS97:BT97 BS101:BT101">
    <cfRule type="uniqueValues" dxfId="190" priority="177"/>
  </conditionalFormatting>
  <conditionalFormatting sqref="BS98:BT98 BS102:BT102">
    <cfRule type="uniqueValues" dxfId="189" priority="176"/>
  </conditionalFormatting>
  <conditionalFormatting sqref="BS103:BT103">
    <cfRule type="uniqueValues" dxfId="188" priority="192"/>
  </conditionalFormatting>
  <conditionalFormatting sqref="BS104:BT104 BS108:BT108">
    <cfRule type="uniqueValues" dxfId="187" priority="183"/>
  </conditionalFormatting>
  <conditionalFormatting sqref="BS105:BT105 BS109:BT109">
    <cfRule type="uniqueValues" dxfId="186" priority="182"/>
  </conditionalFormatting>
  <conditionalFormatting sqref="BS106:BT106 BS110:BT110">
    <cfRule type="uniqueValues" dxfId="185" priority="181"/>
  </conditionalFormatting>
  <conditionalFormatting sqref="BS107:BT107 BS111:BT111">
    <cfRule type="uniqueValues" dxfId="184" priority="180"/>
  </conditionalFormatting>
  <conditionalFormatting sqref="BY5:BZ5">
    <cfRule type="uniqueValues" dxfId="183" priority="450"/>
  </conditionalFormatting>
  <conditionalFormatting sqref="BY6:BZ6">
    <cfRule type="uniqueValues" dxfId="182" priority="449"/>
  </conditionalFormatting>
  <conditionalFormatting sqref="BY7:BZ7">
    <cfRule type="uniqueValues" dxfId="181" priority="448"/>
  </conditionalFormatting>
  <conditionalFormatting sqref="BY8:BZ8">
    <cfRule type="uniqueValues" dxfId="180" priority="447"/>
  </conditionalFormatting>
  <conditionalFormatting sqref="BY9:BZ9">
    <cfRule type="uniqueValues" dxfId="179" priority="446"/>
  </conditionalFormatting>
  <conditionalFormatting sqref="BY10:BZ10">
    <cfRule type="uniqueValues" dxfId="178" priority="445"/>
  </conditionalFormatting>
  <conditionalFormatting sqref="BY11:BZ11">
    <cfRule type="uniqueValues" dxfId="177" priority="437"/>
  </conditionalFormatting>
  <conditionalFormatting sqref="BY12:BZ12">
    <cfRule type="uniqueValues" dxfId="176" priority="438"/>
  </conditionalFormatting>
  <conditionalFormatting sqref="BY13:BZ13">
    <cfRule type="uniqueValues" dxfId="175" priority="441"/>
  </conditionalFormatting>
  <conditionalFormatting sqref="BY14:BZ14">
    <cfRule type="uniqueValues" dxfId="174" priority="440"/>
  </conditionalFormatting>
  <conditionalFormatting sqref="BY15:BZ15">
    <cfRule type="uniqueValues" dxfId="173" priority="439"/>
  </conditionalFormatting>
  <conditionalFormatting sqref="BY16:BZ16">
    <cfRule type="uniqueValues" dxfId="172" priority="442"/>
  </conditionalFormatting>
  <conditionalFormatting sqref="BY17:BZ17">
    <cfRule type="uniqueValues" dxfId="171" priority="444"/>
  </conditionalFormatting>
  <conditionalFormatting sqref="BY18:BZ18">
    <cfRule type="uniqueValues" dxfId="170" priority="443"/>
  </conditionalFormatting>
  <conditionalFormatting sqref="BY19:BZ19">
    <cfRule type="uniqueValues" dxfId="169" priority="436"/>
  </conditionalFormatting>
  <conditionalFormatting sqref="BY20:BZ20">
    <cfRule type="uniqueValues" dxfId="168" priority="412"/>
  </conditionalFormatting>
  <conditionalFormatting sqref="BY23:BZ25">
    <cfRule type="uniqueValues" dxfId="167" priority="414"/>
  </conditionalFormatting>
  <conditionalFormatting sqref="BY26:BZ26">
    <cfRule type="uniqueValues" dxfId="166" priority="415"/>
  </conditionalFormatting>
  <conditionalFormatting sqref="BY27:BZ27">
    <cfRule type="uniqueValues" dxfId="165" priority="421"/>
  </conditionalFormatting>
  <conditionalFormatting sqref="BY28:BZ28">
    <cfRule type="uniqueValues" dxfId="164" priority="423"/>
  </conditionalFormatting>
  <conditionalFormatting sqref="BY29:BZ29">
    <cfRule type="uniqueValues" dxfId="163" priority="422"/>
  </conditionalFormatting>
  <conditionalFormatting sqref="BY30:BZ30">
    <cfRule type="uniqueValues" dxfId="162" priority="429"/>
  </conditionalFormatting>
  <conditionalFormatting sqref="BY32:BZ32">
    <cfRule type="uniqueValues" dxfId="161" priority="430"/>
  </conditionalFormatting>
  <conditionalFormatting sqref="BY34:BZ34">
    <cfRule type="uniqueValues" dxfId="160" priority="431"/>
  </conditionalFormatting>
  <conditionalFormatting sqref="BY35:BZ35">
    <cfRule type="uniqueValues" dxfId="159" priority="432"/>
  </conditionalFormatting>
  <conditionalFormatting sqref="BY36:BZ36">
    <cfRule type="uniqueValues" dxfId="158" priority="433"/>
  </conditionalFormatting>
  <conditionalFormatting sqref="BY40:BZ40">
    <cfRule type="uniqueValues" dxfId="157" priority="15"/>
  </conditionalFormatting>
  <conditionalFormatting sqref="BY41:BZ41 BY45:BZ45">
    <cfRule type="uniqueValues" dxfId="156" priority="14"/>
  </conditionalFormatting>
  <conditionalFormatting sqref="BY42:BZ42 BY46:BZ46">
    <cfRule type="uniqueValues" dxfId="155" priority="13"/>
  </conditionalFormatting>
  <conditionalFormatting sqref="BY43:BZ43 BY47:BZ47">
    <cfRule type="uniqueValues" dxfId="154" priority="12"/>
  </conditionalFormatting>
  <conditionalFormatting sqref="BY44:BZ44 BY48:BZ48">
    <cfRule type="uniqueValues" dxfId="153" priority="11"/>
  </conditionalFormatting>
  <conditionalFormatting sqref="BY52:BZ52">
    <cfRule type="uniqueValues" dxfId="152" priority="10"/>
  </conditionalFormatting>
  <conditionalFormatting sqref="BY53:BZ53 BY57:BZ57">
    <cfRule type="uniqueValues" dxfId="151" priority="9"/>
  </conditionalFormatting>
  <conditionalFormatting sqref="BY54:BZ54 BY58:BZ58">
    <cfRule type="uniqueValues" dxfId="150" priority="8"/>
  </conditionalFormatting>
  <conditionalFormatting sqref="BY55:BZ55 BY59:BZ59">
    <cfRule type="uniqueValues" dxfId="149" priority="7"/>
  </conditionalFormatting>
  <conditionalFormatting sqref="BY56:BZ56 BY60:BZ60">
    <cfRule type="uniqueValues" dxfId="148" priority="6"/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1AB1-1F30-44C8-86C8-D12EB37A6CF6}">
  <dimension ref="A1:BQ132"/>
  <sheetViews>
    <sheetView zoomScaleNormal="100" workbookViewId="0">
      <selection activeCell="Y50" sqref="Y50"/>
    </sheetView>
  </sheetViews>
  <sheetFormatPr defaultColWidth="9.09765625" defaultRowHeight="14.5" x14ac:dyDescent="0.3"/>
  <cols>
    <col min="1" max="1" width="9.09765625" style="27"/>
    <col min="2" max="2" width="5.09765625" style="27" customWidth="1"/>
    <col min="3" max="4" width="4.3984375" style="27" customWidth="1"/>
    <col min="5" max="18" width="3.69921875" style="27" customWidth="1"/>
    <col min="19" max="32" width="9.09765625" style="27" bestFit="1" customWidth="1"/>
    <col min="33" max="33" width="8.8984375" style="27" customWidth="1"/>
    <col min="34" max="34" width="9.3984375" style="27" customWidth="1"/>
    <col min="35" max="37" width="8.69921875" style="27" customWidth="1"/>
    <col min="38" max="38" width="11.69921875" style="27" customWidth="1"/>
    <col min="39" max="39" width="12" style="27" customWidth="1"/>
    <col min="40" max="40" width="13" style="27" customWidth="1"/>
    <col min="41" max="41" width="30" style="27" customWidth="1"/>
    <col min="42" max="42" width="9.3984375" style="27" customWidth="1"/>
    <col min="43" max="43" width="9.8984375" style="27" customWidth="1"/>
    <col min="44" max="44" width="11.59765625" style="27" customWidth="1"/>
    <col min="45" max="45" width="13" style="27" customWidth="1"/>
    <col min="46" max="50" width="8.69921875" style="27" customWidth="1"/>
    <col min="51" max="51" width="10.296875" style="27" customWidth="1"/>
    <col min="52" max="52" width="2.69921875" style="27" customWidth="1"/>
    <col min="53" max="53" width="4.69921875" style="27" customWidth="1"/>
    <col min="54" max="54" width="35.69921875" style="27" customWidth="1"/>
    <col min="55" max="55" width="10.59765625" style="27" customWidth="1"/>
    <col min="56" max="56" width="12.69921875" style="27" customWidth="1"/>
    <col min="57" max="57" width="5.3984375" style="27" customWidth="1"/>
    <col min="58" max="59" width="2.69921875" style="27" customWidth="1"/>
    <col min="60" max="60" width="4.8984375" style="27" customWidth="1"/>
    <col min="61" max="61" width="12" style="27" customWidth="1"/>
    <col min="62" max="62" width="7.59765625" style="27" customWidth="1"/>
    <col min="63" max="63" width="9.59765625" style="27" customWidth="1"/>
    <col min="64" max="64" width="21.59765625" style="27" customWidth="1"/>
    <col min="65" max="65" width="9" style="27" customWidth="1"/>
    <col min="66" max="66" width="14.69921875" style="27" customWidth="1"/>
    <col min="67" max="75" width="2.69921875" style="27" customWidth="1"/>
    <col min="76" max="16384" width="9.09765625" style="27"/>
  </cols>
  <sheetData>
    <row r="1" spans="1:69" ht="17" x14ac:dyDescent="0.4">
      <c r="A1" s="52" t="s">
        <v>68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5" t="s">
        <v>69</v>
      </c>
      <c r="M1" s="25" t="s">
        <v>70</v>
      </c>
      <c r="N1" s="25" t="s">
        <v>71</v>
      </c>
      <c r="O1" s="25" t="s">
        <v>72</v>
      </c>
      <c r="P1" s="25" t="s">
        <v>73</v>
      </c>
      <c r="Q1" s="25" t="s">
        <v>74</v>
      </c>
      <c r="R1" s="53"/>
      <c r="S1" s="24">
        <v>0</v>
      </c>
      <c r="T1" s="24">
        <v>1</v>
      </c>
      <c r="U1" s="24">
        <v>2</v>
      </c>
      <c r="V1" s="24">
        <v>3</v>
      </c>
      <c r="W1" s="24">
        <v>4</v>
      </c>
      <c r="X1" s="24">
        <v>5</v>
      </c>
      <c r="Y1" s="24">
        <v>6</v>
      </c>
      <c r="Z1" s="24">
        <v>7</v>
      </c>
      <c r="AA1" s="24">
        <v>8</v>
      </c>
      <c r="AB1" s="24">
        <v>9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</row>
    <row r="2" spans="1:69" x14ac:dyDescent="0.3">
      <c r="A2" s="26">
        <v>0</v>
      </c>
      <c r="B2" s="47" t="str">
        <f>MID($A22,5,2)</f>
        <v>00</v>
      </c>
      <c r="C2" s="47" t="str">
        <f>MID($A22,8,2)</f>
        <v>05</v>
      </c>
      <c r="D2" s="47" t="str">
        <f>MID($A22,11,2)</f>
        <v>10</v>
      </c>
      <c r="E2" s="47" t="str">
        <f>MID($A22,14,2)</f>
        <v>0c</v>
      </c>
      <c r="F2" s="47" t="str">
        <f>MID($A22,17,2)</f>
        <v>01</v>
      </c>
      <c r="G2" s="47" t="str">
        <f>MID($A22,20,2)</f>
        <v>00</v>
      </c>
      <c r="H2" s="47" t="str">
        <f>MID($A22,23,2)</f>
        <v>00</v>
      </c>
      <c r="I2" s="47" t="str">
        <f>MID($A22,26,2)</f>
        <v>00</v>
      </c>
      <c r="J2" s="47" t="str">
        <f>MID($A22,29,2)</f>
        <v>00</v>
      </c>
      <c r="K2" s="47" t="str">
        <f>MID($A22,32,2)</f>
        <v>00</v>
      </c>
      <c r="L2" s="47" t="str">
        <f>MID($A22,35,2)</f>
        <v>00</v>
      </c>
      <c r="M2" s="47" t="str">
        <f>MID($A22,38,2)</f>
        <v>00</v>
      </c>
      <c r="N2" s="47" t="str">
        <f>MID($A22,41,2)</f>
        <v>00</v>
      </c>
      <c r="O2" s="47" t="str">
        <f>MID($A22,44,2)</f>
        <v>00</v>
      </c>
      <c r="P2" s="47" t="str">
        <f>MID($A22,47,2)</f>
        <v>00</v>
      </c>
      <c r="Q2" s="47" t="str">
        <f>MID($A22,50,2)</f>
        <v>00</v>
      </c>
      <c r="R2" s="53"/>
      <c r="S2" s="47" t="str">
        <f>TEXT(HEX2BIN(B2),"00000000")</f>
        <v>00000000</v>
      </c>
      <c r="T2" s="47" t="str">
        <f t="shared" ref="T2:AH17" si="0">TEXT(HEX2BIN(C2),"00000000")</f>
        <v>00000101</v>
      </c>
      <c r="U2" s="47" t="str">
        <f t="shared" si="0"/>
        <v>00010000</v>
      </c>
      <c r="V2" s="47" t="str">
        <f t="shared" si="0"/>
        <v>00001100</v>
      </c>
      <c r="W2" s="47" t="str">
        <f t="shared" si="0"/>
        <v>00000001</v>
      </c>
      <c r="X2" s="47" t="str">
        <f t="shared" si="0"/>
        <v>00000000</v>
      </c>
      <c r="Y2" s="47" t="str">
        <f t="shared" si="0"/>
        <v>00000000</v>
      </c>
      <c r="Z2" s="47" t="str">
        <f t="shared" si="0"/>
        <v>00000000</v>
      </c>
      <c r="AA2" s="47" t="str">
        <f t="shared" si="0"/>
        <v>00000000</v>
      </c>
      <c r="AB2" s="47" t="str">
        <f t="shared" si="0"/>
        <v>00000000</v>
      </c>
      <c r="AC2" s="47" t="str">
        <f t="shared" si="0"/>
        <v>00000000</v>
      </c>
      <c r="AD2" s="47" t="str">
        <f t="shared" si="0"/>
        <v>00000000</v>
      </c>
      <c r="AE2" s="47" t="str">
        <f t="shared" si="0"/>
        <v>00000000</v>
      </c>
      <c r="AF2" s="47" t="str">
        <f t="shared" si="0"/>
        <v>00000000</v>
      </c>
      <c r="AG2" s="47" t="str">
        <f t="shared" si="0"/>
        <v>00000000</v>
      </c>
      <c r="AH2" s="47" t="str">
        <f t="shared" si="0"/>
        <v>00000000</v>
      </c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172" t="s">
        <v>1763</v>
      </c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4"/>
    </row>
    <row r="3" spans="1:69" x14ac:dyDescent="0.3">
      <c r="A3" s="26">
        <v>10</v>
      </c>
      <c r="B3" s="47" t="str">
        <f t="shared" ref="B3:B17" si="1">MID($A23,5,2)</f>
        <v>00</v>
      </c>
      <c r="C3" s="47" t="str">
        <f t="shared" ref="C3:C17" si="2">MID($A23,8,2)</f>
        <v>00</v>
      </c>
      <c r="D3" s="47" t="str">
        <f t="shared" ref="D3:D17" si="3">MID($A23,11,2)</f>
        <v>00</v>
      </c>
      <c r="E3" s="47" t="str">
        <f t="shared" ref="E3:E17" si="4">MID($A23,14,2)</f>
        <v>00</v>
      </c>
      <c r="F3" s="47" t="str">
        <f t="shared" ref="F3:F17" si="5">MID($A23,17,2)</f>
        <v>00</v>
      </c>
      <c r="G3" s="47" t="str">
        <f t="shared" ref="G3:G17" si="6">MID($A23,20,2)</f>
        <v>00</v>
      </c>
      <c r="H3" s="47" t="str">
        <f t="shared" ref="H3:H17" si="7">MID($A23,23,2)</f>
        <v>00</v>
      </c>
      <c r="I3" s="47" t="str">
        <f t="shared" ref="I3:I17" si="8">MID($A23,26,2)</f>
        <v>00</v>
      </c>
      <c r="J3" s="47" t="str">
        <f t="shared" ref="J3:J17" si="9">MID($A23,29,2)</f>
        <v>00</v>
      </c>
      <c r="K3" s="47" t="str">
        <f t="shared" ref="K3:K17" si="10">MID($A23,32,2)</f>
        <v>00</v>
      </c>
      <c r="L3" s="47" t="str">
        <f t="shared" ref="L3:L17" si="11">MID($A23,35,2)</f>
        <v>00</v>
      </c>
      <c r="M3" s="47" t="str">
        <f t="shared" ref="M3:M17" si="12">MID($A23,38,2)</f>
        <v>00</v>
      </c>
      <c r="N3" s="47" t="str">
        <f t="shared" ref="N3:N17" si="13">MID($A23,41,2)</f>
        <v>00</v>
      </c>
      <c r="O3" s="47" t="str">
        <f t="shared" ref="O3:O17" si="14">MID($A23,44,2)</f>
        <v>00</v>
      </c>
      <c r="P3" s="47" t="str">
        <f t="shared" ref="P3:P17" si="15">MID($A23,47,2)</f>
        <v>00</v>
      </c>
      <c r="Q3" s="47" t="str">
        <f t="shared" ref="Q3:Q17" si="16">MID($A23,50,2)</f>
        <v>00</v>
      </c>
      <c r="R3" s="54"/>
      <c r="S3" s="47" t="str">
        <f t="shared" ref="S3:S17" si="17">TEXT(HEX2BIN(B3),"00000000")</f>
        <v>00000000</v>
      </c>
      <c r="T3" s="47" t="str">
        <f t="shared" si="0"/>
        <v>00000000</v>
      </c>
      <c r="U3" s="47" t="str">
        <f t="shared" si="0"/>
        <v>00000000</v>
      </c>
      <c r="V3" s="47" t="str">
        <f t="shared" si="0"/>
        <v>00000000</v>
      </c>
      <c r="W3" s="47" t="str">
        <f t="shared" si="0"/>
        <v>00000000</v>
      </c>
      <c r="X3" s="47" t="str">
        <f t="shared" si="0"/>
        <v>00000000</v>
      </c>
      <c r="Y3" s="47" t="str">
        <f t="shared" si="0"/>
        <v>00000000</v>
      </c>
      <c r="Z3" s="47" t="str">
        <f t="shared" si="0"/>
        <v>00000000</v>
      </c>
      <c r="AA3" s="47" t="str">
        <f t="shared" si="0"/>
        <v>00000000</v>
      </c>
      <c r="AB3" s="47" t="str">
        <f t="shared" si="0"/>
        <v>00000000</v>
      </c>
      <c r="AC3" s="47" t="str">
        <f t="shared" si="0"/>
        <v>00000000</v>
      </c>
      <c r="AD3" s="47" t="str">
        <f t="shared" si="0"/>
        <v>00000000</v>
      </c>
      <c r="AE3" s="47" t="str">
        <f t="shared" si="0"/>
        <v>00000000</v>
      </c>
      <c r="AF3" s="47" t="str">
        <f t="shared" si="0"/>
        <v>00000000</v>
      </c>
      <c r="AG3" s="47" t="str">
        <f t="shared" si="0"/>
        <v>00000000</v>
      </c>
      <c r="AH3" s="47" t="str">
        <f t="shared" si="0"/>
        <v>00000000</v>
      </c>
      <c r="AI3" s="51"/>
      <c r="AJ3" s="51"/>
      <c r="AK3" s="51"/>
      <c r="AL3" s="55"/>
      <c r="AM3" s="186" t="s">
        <v>75</v>
      </c>
      <c r="AN3" s="186"/>
      <c r="AO3" s="186"/>
      <c r="AP3" s="55"/>
      <c r="AQ3" s="90"/>
      <c r="AR3" s="68"/>
      <c r="AS3" s="44"/>
      <c r="AT3" s="44"/>
      <c r="AU3" s="44"/>
      <c r="AV3" s="44"/>
      <c r="AW3" s="44"/>
      <c r="AX3" s="56"/>
      <c r="AY3" s="55"/>
      <c r="AZ3" s="176" t="s">
        <v>75</v>
      </c>
      <c r="BA3" s="176"/>
      <c r="BB3" s="176"/>
      <c r="BC3" s="1" t="s">
        <v>19</v>
      </c>
      <c r="BD3" s="1" t="s">
        <v>2</v>
      </c>
      <c r="BE3" s="44"/>
      <c r="BF3" s="44"/>
      <c r="BG3" s="44"/>
      <c r="BH3" s="44"/>
      <c r="BI3" s="55"/>
      <c r="BJ3" s="176" t="s">
        <v>75</v>
      </c>
      <c r="BK3" s="176"/>
      <c r="BL3" s="176"/>
      <c r="BM3" s="1" t="s">
        <v>19</v>
      </c>
      <c r="BN3" s="1" t="s">
        <v>2</v>
      </c>
      <c r="BO3" s="44"/>
      <c r="BP3" s="44"/>
      <c r="BQ3" s="57"/>
    </row>
    <row r="4" spans="1:69" x14ac:dyDescent="0.3">
      <c r="A4" s="26">
        <v>20</v>
      </c>
      <c r="B4" s="47" t="str">
        <f t="shared" si="1"/>
        <v>00</v>
      </c>
      <c r="C4" s="47" t="str">
        <f t="shared" si="2"/>
        <v>00</v>
      </c>
      <c r="D4" s="47" t="str">
        <f t="shared" si="3"/>
        <v>00</v>
      </c>
      <c r="E4" s="47" t="str">
        <f t="shared" si="4"/>
        <v>00</v>
      </c>
      <c r="F4" s="47" t="str">
        <f t="shared" si="5"/>
        <v>00</v>
      </c>
      <c r="G4" s="47" t="str">
        <f t="shared" si="6"/>
        <v>ff</v>
      </c>
      <c r="H4" s="47" t="str">
        <f t="shared" si="7"/>
        <v>00</v>
      </c>
      <c r="I4" s="47" t="str">
        <f t="shared" si="8"/>
        <v>ff</v>
      </c>
      <c r="J4" s="47" t="str">
        <f t="shared" si="9"/>
        <v>00</v>
      </c>
      <c r="K4" s="47" t="str">
        <f t="shared" si="10"/>
        <v>f0</v>
      </c>
      <c r="L4" s="47" t="str">
        <f t="shared" si="11"/>
        <v>ff</v>
      </c>
      <c r="M4" s="47" t="str">
        <f t="shared" si="12"/>
        <v>00</v>
      </c>
      <c r="N4" s="47" t="str">
        <f t="shared" si="13"/>
        <v>f0</v>
      </c>
      <c r="O4" s="47" t="str">
        <f t="shared" si="14"/>
        <v>f0</v>
      </c>
      <c r="P4" s="47" t="str">
        <f t="shared" si="15"/>
        <v>0f</v>
      </c>
      <c r="Q4" s="47" t="str">
        <f t="shared" si="16"/>
        <v>00</v>
      </c>
      <c r="R4" s="53"/>
      <c r="S4" s="47" t="str">
        <f t="shared" si="17"/>
        <v>00000000</v>
      </c>
      <c r="T4" s="47" t="str">
        <f t="shared" si="0"/>
        <v>00000000</v>
      </c>
      <c r="U4" s="47" t="str">
        <f t="shared" si="0"/>
        <v>00000000</v>
      </c>
      <c r="V4" s="47" t="str">
        <f t="shared" si="0"/>
        <v>00000000</v>
      </c>
      <c r="W4" s="47" t="str">
        <f t="shared" si="0"/>
        <v>00000000</v>
      </c>
      <c r="X4" s="47" t="str">
        <f t="shared" si="0"/>
        <v>11111111</v>
      </c>
      <c r="Y4" s="47" t="str">
        <f t="shared" si="0"/>
        <v>00000000</v>
      </c>
      <c r="Z4" s="47" t="str">
        <f t="shared" si="0"/>
        <v>11111111</v>
      </c>
      <c r="AA4" s="47" t="str">
        <f t="shared" si="0"/>
        <v>00000000</v>
      </c>
      <c r="AB4" s="47" t="str">
        <f t="shared" si="0"/>
        <v>11110000</v>
      </c>
      <c r="AC4" s="47" t="str">
        <f t="shared" si="0"/>
        <v>11111111</v>
      </c>
      <c r="AD4" s="47" t="str">
        <f t="shared" si="0"/>
        <v>00000000</v>
      </c>
      <c r="AE4" s="47" t="str">
        <f t="shared" si="0"/>
        <v>11110000</v>
      </c>
      <c r="AF4" s="47" t="str">
        <f t="shared" si="0"/>
        <v>11110000</v>
      </c>
      <c r="AG4" s="47" t="str">
        <f t="shared" si="0"/>
        <v>00001111</v>
      </c>
      <c r="AH4" s="47" t="str">
        <f t="shared" si="0"/>
        <v>00000000</v>
      </c>
      <c r="AI4" s="44"/>
      <c r="AJ4" s="44"/>
      <c r="AK4" s="44"/>
      <c r="AL4" s="55"/>
      <c r="AM4" s="185" t="s">
        <v>77</v>
      </c>
      <c r="AN4" s="185"/>
      <c r="AO4" s="185"/>
      <c r="AP4" s="1" t="s">
        <v>19</v>
      </c>
      <c r="AQ4" s="98" t="s">
        <v>2</v>
      </c>
      <c r="AR4" s="18" t="s">
        <v>78</v>
      </c>
      <c r="AS4" s="44"/>
      <c r="AT4" s="44"/>
      <c r="AU4" s="44"/>
      <c r="AV4" s="44"/>
      <c r="AW4" s="44"/>
      <c r="AX4" s="56"/>
      <c r="AY4" s="2" t="s">
        <v>1764</v>
      </c>
      <c r="AZ4" s="177" t="s">
        <v>1765</v>
      </c>
      <c r="BA4" s="177"/>
      <c r="BB4" s="177"/>
      <c r="BC4" s="58" t="str">
        <f>AP14</f>
        <v>1111</v>
      </c>
      <c r="BD4" s="58" t="str">
        <f>AQ14</f>
        <v>0000</v>
      </c>
      <c r="BE4" s="44"/>
      <c r="BF4" s="44"/>
      <c r="BG4" s="44"/>
      <c r="BH4" s="44"/>
      <c r="BI4" s="2" t="s">
        <v>1766</v>
      </c>
      <c r="BJ4" s="187" t="s">
        <v>1767</v>
      </c>
      <c r="BK4" s="177"/>
      <c r="BL4" s="177"/>
      <c r="BM4" s="58" t="str">
        <f>AP29</f>
        <v>1111</v>
      </c>
      <c r="BN4" s="58" t="str">
        <f>AQ29</f>
        <v>1111</v>
      </c>
      <c r="BO4" s="44"/>
      <c r="BP4" s="44"/>
      <c r="BQ4" s="57"/>
    </row>
    <row r="5" spans="1:69" x14ac:dyDescent="0.3">
      <c r="A5" s="26">
        <v>30</v>
      </c>
      <c r="B5" s="47" t="str">
        <f t="shared" si="1"/>
        <v>01</v>
      </c>
      <c r="C5" s="47" t="str">
        <f t="shared" si="2"/>
        <v>00</v>
      </c>
      <c r="D5" s="47" t="str">
        <f t="shared" si="3"/>
        <v>f7</v>
      </c>
      <c r="E5" s="47" t="str">
        <f t="shared" si="4"/>
        <v>f0</v>
      </c>
      <c r="F5" s="47" t="str">
        <f t="shared" si="5"/>
        <v>f0</v>
      </c>
      <c r="G5" s="47" t="str">
        <f t="shared" si="6"/>
        <v>00</v>
      </c>
      <c r="H5" s="47" t="str">
        <f t="shared" si="7"/>
        <v>00</v>
      </c>
      <c r="I5" s="47" t="str">
        <f t="shared" si="8"/>
        <v>00</v>
      </c>
      <c r="J5" s="47" t="str">
        <f t="shared" si="9"/>
        <v>00</v>
      </c>
      <c r="K5" s="47" t="str">
        <f t="shared" si="10"/>
        <v>00</v>
      </c>
      <c r="L5" s="47" t="str">
        <f t="shared" si="11"/>
        <v>00</v>
      </c>
      <c r="M5" s="47" t="str">
        <f t="shared" si="12"/>
        <v>00</v>
      </c>
      <c r="N5" s="47" t="str">
        <f t="shared" si="13"/>
        <v>00</v>
      </c>
      <c r="O5" s="47" t="str">
        <f t="shared" si="14"/>
        <v>00</v>
      </c>
      <c r="P5" s="47" t="str">
        <f t="shared" si="15"/>
        <v>04</v>
      </c>
      <c r="Q5" s="47" t="str">
        <f t="shared" si="16"/>
        <v>06</v>
      </c>
      <c r="R5" s="53"/>
      <c r="S5" s="47" t="str">
        <f t="shared" si="17"/>
        <v>00000001</v>
      </c>
      <c r="T5" s="47" t="str">
        <f t="shared" si="0"/>
        <v>00000000</v>
      </c>
      <c r="U5" s="47" t="str">
        <f t="shared" si="0"/>
        <v>11110111</v>
      </c>
      <c r="V5" s="47" t="str">
        <f t="shared" si="0"/>
        <v>11110000</v>
      </c>
      <c r="W5" s="47" t="str">
        <f t="shared" si="0"/>
        <v>11110000</v>
      </c>
      <c r="X5" s="47" t="str">
        <f t="shared" si="0"/>
        <v>00000000</v>
      </c>
      <c r="Y5" s="47" t="str">
        <f t="shared" si="0"/>
        <v>00000000</v>
      </c>
      <c r="Z5" s="47" t="str">
        <f t="shared" si="0"/>
        <v>00000000</v>
      </c>
      <c r="AA5" s="47" t="str">
        <f t="shared" si="0"/>
        <v>00000000</v>
      </c>
      <c r="AB5" s="47" t="str">
        <f t="shared" si="0"/>
        <v>00000000</v>
      </c>
      <c r="AC5" s="47" t="str">
        <f t="shared" si="0"/>
        <v>00000000</v>
      </c>
      <c r="AD5" s="47" t="str">
        <f t="shared" si="0"/>
        <v>00000000</v>
      </c>
      <c r="AE5" s="47" t="str">
        <f t="shared" si="0"/>
        <v>00000000</v>
      </c>
      <c r="AF5" s="47" t="str">
        <f t="shared" si="0"/>
        <v>00000000</v>
      </c>
      <c r="AG5" s="47" t="str">
        <f t="shared" si="0"/>
        <v>00000100</v>
      </c>
      <c r="AH5" s="47" t="str">
        <f t="shared" si="0"/>
        <v>00000110</v>
      </c>
      <c r="AI5" s="44"/>
      <c r="AJ5" s="44"/>
      <c r="AK5" s="44"/>
      <c r="AL5" s="59" t="s">
        <v>1768</v>
      </c>
      <c r="AM5" s="175" t="s">
        <v>1769</v>
      </c>
      <c r="AN5" s="175"/>
      <c r="AO5" s="175"/>
      <c r="AP5" s="47" t="s">
        <v>1770</v>
      </c>
      <c r="AQ5" s="88" t="str">
        <f>MID($T2,5,2)</f>
        <v>01</v>
      </c>
      <c r="AR5" s="68"/>
      <c r="AS5" s="44"/>
      <c r="AT5" s="44"/>
      <c r="AU5" s="44"/>
      <c r="AV5" s="44"/>
      <c r="AW5" s="44"/>
      <c r="AX5" s="56"/>
      <c r="AY5" s="55" t="s">
        <v>1771</v>
      </c>
      <c r="AZ5" s="175" t="s">
        <v>1772</v>
      </c>
      <c r="BA5" s="175"/>
      <c r="BB5" s="175"/>
      <c r="BC5" s="47" t="str">
        <f>MID($BC4,1,1)</f>
        <v>1</v>
      </c>
      <c r="BD5" s="47" t="str">
        <f>MID($BD4,1,1)</f>
        <v>0</v>
      </c>
      <c r="BE5" s="44"/>
      <c r="BF5" s="44"/>
      <c r="BG5" s="44"/>
      <c r="BH5" s="44"/>
      <c r="BI5" s="55" t="s">
        <v>1773</v>
      </c>
      <c r="BJ5" s="175" t="s">
        <v>1774</v>
      </c>
      <c r="BK5" s="175"/>
      <c r="BL5" s="175"/>
      <c r="BM5" s="47" t="str">
        <f>MID($BC4,1,1)</f>
        <v>1</v>
      </c>
      <c r="BN5" s="47" t="str">
        <f>MID($BD4,1,1)</f>
        <v>0</v>
      </c>
      <c r="BO5" s="44"/>
      <c r="BP5" s="44"/>
      <c r="BQ5" s="57"/>
    </row>
    <row r="6" spans="1:69" x14ac:dyDescent="0.3">
      <c r="A6" s="26">
        <v>40</v>
      </c>
      <c r="B6" s="47" t="str">
        <f t="shared" si="1"/>
        <v>10</v>
      </c>
      <c r="C6" s="47" t="str">
        <f t="shared" si="2"/>
        <v>00</v>
      </c>
      <c r="D6" s="47" t="str">
        <f t="shared" si="3"/>
        <v>00</v>
      </c>
      <c r="E6" s="47" t="str">
        <f t="shared" si="4"/>
        <v>00</v>
      </c>
      <c r="F6" s="47" t="str">
        <f t="shared" si="5"/>
        <v>00</v>
      </c>
      <c r="G6" s="47" t="str">
        <f t="shared" si="6"/>
        <v>00</v>
      </c>
      <c r="H6" s="47" t="str">
        <f t="shared" si="7"/>
        <v>00</v>
      </c>
      <c r="I6" s="47" t="str">
        <f t="shared" si="8"/>
        <v>00</v>
      </c>
      <c r="J6" s="47" t="str">
        <f t="shared" si="9"/>
        <v>00</v>
      </c>
      <c r="K6" s="47" t="str">
        <f t="shared" si="10"/>
        <v>00</v>
      </c>
      <c r="L6" s="47" t="str">
        <f t="shared" si="11"/>
        <v>00</v>
      </c>
      <c r="M6" s="47" t="str">
        <f t="shared" si="12"/>
        <v>00</v>
      </c>
      <c r="N6" s="47" t="str">
        <f t="shared" si="13"/>
        <v>00</v>
      </c>
      <c r="O6" s="47" t="str">
        <f t="shared" si="14"/>
        <v>00</v>
      </c>
      <c r="P6" s="47" t="str">
        <f t="shared" si="15"/>
        <v>00</v>
      </c>
      <c r="Q6" s="47" t="str">
        <f t="shared" si="16"/>
        <v>00</v>
      </c>
      <c r="R6" s="53"/>
      <c r="S6" s="47" t="str">
        <f t="shared" si="17"/>
        <v>00010000</v>
      </c>
      <c r="T6" s="47" t="str">
        <f t="shared" si="0"/>
        <v>00000000</v>
      </c>
      <c r="U6" s="47" t="str">
        <f t="shared" si="0"/>
        <v>00000000</v>
      </c>
      <c r="V6" s="47" t="str">
        <f t="shared" si="0"/>
        <v>00000000</v>
      </c>
      <c r="W6" s="47" t="str">
        <f t="shared" si="0"/>
        <v>00000000</v>
      </c>
      <c r="X6" s="47" t="str">
        <f t="shared" si="0"/>
        <v>00000000</v>
      </c>
      <c r="Y6" s="47" t="str">
        <f t="shared" si="0"/>
        <v>00000000</v>
      </c>
      <c r="Z6" s="47" t="str">
        <f t="shared" si="0"/>
        <v>00000000</v>
      </c>
      <c r="AA6" s="47" t="str">
        <f t="shared" si="0"/>
        <v>00000000</v>
      </c>
      <c r="AB6" s="47" t="str">
        <f t="shared" si="0"/>
        <v>00000000</v>
      </c>
      <c r="AC6" s="47" t="str">
        <f t="shared" si="0"/>
        <v>00000000</v>
      </c>
      <c r="AD6" s="47" t="str">
        <f t="shared" si="0"/>
        <v>00000000</v>
      </c>
      <c r="AE6" s="47" t="str">
        <f t="shared" si="0"/>
        <v>00000000</v>
      </c>
      <c r="AF6" s="47" t="str">
        <f t="shared" si="0"/>
        <v>00000000</v>
      </c>
      <c r="AG6" s="47" t="str">
        <f t="shared" si="0"/>
        <v>00000000</v>
      </c>
      <c r="AH6" s="47" t="str">
        <f t="shared" si="0"/>
        <v>00000000</v>
      </c>
      <c r="AI6" s="44"/>
      <c r="AJ6" s="44"/>
      <c r="AK6" s="44"/>
      <c r="AL6" s="59" t="s">
        <v>417</v>
      </c>
      <c r="AM6" s="175" t="s">
        <v>1775</v>
      </c>
      <c r="AN6" s="175"/>
      <c r="AO6" s="175"/>
      <c r="AP6" s="47" t="s">
        <v>82</v>
      </c>
      <c r="AQ6" s="88" t="str">
        <f>MID($T2,8,1)</f>
        <v>1</v>
      </c>
      <c r="AR6" s="68"/>
      <c r="AS6" s="44"/>
      <c r="AT6" s="44"/>
      <c r="AU6" s="44"/>
      <c r="AV6" s="44"/>
      <c r="AW6" s="44"/>
      <c r="AX6" s="56"/>
      <c r="AY6" s="55" t="s">
        <v>1776</v>
      </c>
      <c r="AZ6" s="175" t="s">
        <v>1777</v>
      </c>
      <c r="BA6" s="175"/>
      <c r="BB6" s="175"/>
      <c r="BC6" s="47" t="str">
        <f>MID($BC4,2,1)</f>
        <v>1</v>
      </c>
      <c r="BD6" s="47" t="str">
        <f>MID($BD4,3,1)</f>
        <v>0</v>
      </c>
      <c r="BE6" s="44"/>
      <c r="BF6" s="44"/>
      <c r="BG6" s="44"/>
      <c r="BH6" s="44"/>
      <c r="BI6" s="55" t="s">
        <v>1778</v>
      </c>
      <c r="BJ6" s="175" t="s">
        <v>1779</v>
      </c>
      <c r="BK6" s="175"/>
      <c r="BL6" s="175"/>
      <c r="BM6" s="47" t="str">
        <f>MID($BC4,2,1)</f>
        <v>1</v>
      </c>
      <c r="BN6" s="47" t="str">
        <f>MID($BD4,3,1)</f>
        <v>0</v>
      </c>
      <c r="BO6" s="44"/>
      <c r="BP6" s="44"/>
      <c r="BQ6" s="57"/>
    </row>
    <row r="7" spans="1:69" x14ac:dyDescent="0.3">
      <c r="A7" s="26">
        <v>50</v>
      </c>
      <c r="B7" s="47" t="str">
        <f t="shared" si="1"/>
        <v>00</v>
      </c>
      <c r="C7" s="47" t="str">
        <f t="shared" si="2"/>
        <v>00</v>
      </c>
      <c r="D7" s="47" t="str">
        <f t="shared" si="3"/>
        <v>00</v>
      </c>
      <c r="E7" s="47" t="str">
        <f t="shared" si="4"/>
        <v>00</v>
      </c>
      <c r="F7" s="47" t="str">
        <f t="shared" si="5"/>
        <v>00</v>
      </c>
      <c r="G7" s="47" t="str">
        <f t="shared" si="6"/>
        <v>00</v>
      </c>
      <c r="H7" s="47" t="str">
        <f t="shared" si="7"/>
        <v>00</v>
      </c>
      <c r="I7" s="47" t="str">
        <f t="shared" si="8"/>
        <v>00</v>
      </c>
      <c r="J7" s="47" t="str">
        <f t="shared" si="9"/>
        <v>00</v>
      </c>
      <c r="K7" s="47" t="str">
        <f t="shared" si="10"/>
        <v>00</v>
      </c>
      <c r="L7" s="47" t="str">
        <f t="shared" si="11"/>
        <v>00</v>
      </c>
      <c r="M7" s="47" t="str">
        <f t="shared" si="12"/>
        <v>00</v>
      </c>
      <c r="N7" s="47" t="str">
        <f t="shared" si="13"/>
        <v>00</v>
      </c>
      <c r="O7" s="47" t="str">
        <f t="shared" si="14"/>
        <v>00</v>
      </c>
      <c r="P7" s="47" t="str">
        <f t="shared" si="15"/>
        <v>00</v>
      </c>
      <c r="Q7" s="47" t="str">
        <f t="shared" si="16"/>
        <v>00</v>
      </c>
      <c r="R7" s="53"/>
      <c r="S7" s="47" t="str">
        <f t="shared" si="17"/>
        <v>00000000</v>
      </c>
      <c r="T7" s="47" t="str">
        <f t="shared" si="0"/>
        <v>00000000</v>
      </c>
      <c r="U7" s="47" t="str">
        <f t="shared" si="0"/>
        <v>00000000</v>
      </c>
      <c r="V7" s="47" t="str">
        <f t="shared" si="0"/>
        <v>00000000</v>
      </c>
      <c r="W7" s="47" t="str">
        <f t="shared" si="0"/>
        <v>00000000</v>
      </c>
      <c r="X7" s="47" t="str">
        <f t="shared" si="0"/>
        <v>00000000</v>
      </c>
      <c r="Y7" s="47" t="str">
        <f t="shared" si="0"/>
        <v>00000000</v>
      </c>
      <c r="Z7" s="47" t="str">
        <f t="shared" si="0"/>
        <v>00000000</v>
      </c>
      <c r="AA7" s="47" t="str">
        <f t="shared" si="0"/>
        <v>00000000</v>
      </c>
      <c r="AB7" s="47" t="str">
        <f t="shared" si="0"/>
        <v>00000000</v>
      </c>
      <c r="AC7" s="47" t="str">
        <f t="shared" si="0"/>
        <v>00000000</v>
      </c>
      <c r="AD7" s="47" t="str">
        <f t="shared" si="0"/>
        <v>00000000</v>
      </c>
      <c r="AE7" s="47" t="str">
        <f t="shared" si="0"/>
        <v>00000000</v>
      </c>
      <c r="AF7" s="47" t="str">
        <f t="shared" si="0"/>
        <v>00000000</v>
      </c>
      <c r="AG7" s="47" t="str">
        <f t="shared" si="0"/>
        <v>00000000</v>
      </c>
      <c r="AH7" s="47" t="str">
        <f t="shared" si="0"/>
        <v>00000000</v>
      </c>
      <c r="AI7" s="44"/>
      <c r="AJ7" s="44"/>
      <c r="AK7" s="44"/>
      <c r="AL7" s="59" t="s">
        <v>1780</v>
      </c>
      <c r="AM7" s="175" t="s">
        <v>1781</v>
      </c>
      <c r="AN7" s="175"/>
      <c r="AO7" s="175"/>
      <c r="AP7" s="47" t="s">
        <v>89</v>
      </c>
      <c r="AQ7" s="88" t="str">
        <f>MID($U2,2,2)</f>
        <v>00</v>
      </c>
      <c r="AR7" s="68"/>
      <c r="AS7" s="44"/>
      <c r="AT7" s="44"/>
      <c r="AU7" s="44"/>
      <c r="AV7" s="44"/>
      <c r="AW7" s="44"/>
      <c r="AX7" s="56"/>
      <c r="AY7" s="55" t="s">
        <v>1782</v>
      </c>
      <c r="AZ7" s="175" t="s">
        <v>1783</v>
      </c>
      <c r="BA7" s="175"/>
      <c r="BB7" s="175"/>
      <c r="BC7" s="47" t="str">
        <f>MID($BC4,3,1)</f>
        <v>1</v>
      </c>
      <c r="BD7" s="47" t="str">
        <f>MID($BD4,3,1)</f>
        <v>0</v>
      </c>
      <c r="BE7" s="44"/>
      <c r="BF7" s="44"/>
      <c r="BG7" s="44"/>
      <c r="BH7" s="44"/>
      <c r="BI7" s="55" t="s">
        <v>1784</v>
      </c>
      <c r="BJ7" s="175" t="s">
        <v>1785</v>
      </c>
      <c r="BK7" s="175"/>
      <c r="BL7" s="175"/>
      <c r="BM7" s="47" t="str">
        <f>MID($BC4,3,1)</f>
        <v>1</v>
      </c>
      <c r="BN7" s="47" t="str">
        <f>MID($BD4,3,1)</f>
        <v>0</v>
      </c>
      <c r="BO7" s="44"/>
      <c r="BP7" s="44"/>
      <c r="BQ7" s="57"/>
    </row>
    <row r="8" spans="1:69" x14ac:dyDescent="0.3">
      <c r="A8" s="26">
        <v>60</v>
      </c>
      <c r="B8" s="47" t="str">
        <f t="shared" si="1"/>
        <v>00</v>
      </c>
      <c r="C8" s="47" t="str">
        <f t="shared" si="2"/>
        <v>00</v>
      </c>
      <c r="D8" s="47" t="str">
        <f t="shared" si="3"/>
        <v>00</v>
      </c>
      <c r="E8" s="47" t="str">
        <f t="shared" si="4"/>
        <v>00</v>
      </c>
      <c r="F8" s="47" t="str">
        <f t="shared" si="5"/>
        <v>00</v>
      </c>
      <c r="G8" s="47" t="str">
        <f t="shared" si="6"/>
        <v>00</v>
      </c>
      <c r="H8" s="47" t="str">
        <f t="shared" si="7"/>
        <v>00</v>
      </c>
      <c r="I8" s="47" t="str">
        <f t="shared" si="8"/>
        <v>00</v>
      </c>
      <c r="J8" s="47" t="str">
        <f t="shared" si="9"/>
        <v>00</v>
      </c>
      <c r="K8" s="47" t="str">
        <f t="shared" si="10"/>
        <v>00</v>
      </c>
      <c r="L8" s="47" t="str">
        <f t="shared" si="11"/>
        <v>00</v>
      </c>
      <c r="M8" s="47" t="str">
        <f t="shared" si="12"/>
        <v>00</v>
      </c>
      <c r="N8" s="47" t="str">
        <f t="shared" si="13"/>
        <v>00</v>
      </c>
      <c r="O8" s="47" t="str">
        <f t="shared" si="14"/>
        <v>00</v>
      </c>
      <c r="P8" s="47" t="str">
        <f t="shared" si="15"/>
        <v>00</v>
      </c>
      <c r="Q8" s="47" t="str">
        <f t="shared" si="16"/>
        <v>00</v>
      </c>
      <c r="R8" s="53"/>
      <c r="S8" s="47" t="str">
        <f t="shared" si="17"/>
        <v>00000000</v>
      </c>
      <c r="T8" s="47" t="str">
        <f t="shared" si="0"/>
        <v>00000000</v>
      </c>
      <c r="U8" s="47" t="str">
        <f t="shared" si="0"/>
        <v>00000000</v>
      </c>
      <c r="V8" s="47" t="str">
        <f t="shared" si="0"/>
        <v>00000000</v>
      </c>
      <c r="W8" s="47" t="str">
        <f t="shared" si="0"/>
        <v>00000000</v>
      </c>
      <c r="X8" s="47" t="str">
        <f t="shared" si="0"/>
        <v>00000000</v>
      </c>
      <c r="Y8" s="47" t="str">
        <f t="shared" si="0"/>
        <v>00000000</v>
      </c>
      <c r="Z8" s="47" t="str">
        <f t="shared" si="0"/>
        <v>00000000</v>
      </c>
      <c r="AA8" s="47" t="str">
        <f t="shared" si="0"/>
        <v>00000000</v>
      </c>
      <c r="AB8" s="47" t="str">
        <f t="shared" si="0"/>
        <v>00000000</v>
      </c>
      <c r="AC8" s="47" t="str">
        <f t="shared" si="0"/>
        <v>00000000</v>
      </c>
      <c r="AD8" s="47" t="str">
        <f t="shared" si="0"/>
        <v>00000000</v>
      </c>
      <c r="AE8" s="47" t="str">
        <f t="shared" si="0"/>
        <v>00000000</v>
      </c>
      <c r="AF8" s="47" t="str">
        <f t="shared" si="0"/>
        <v>00000000</v>
      </c>
      <c r="AG8" s="47" t="str">
        <f t="shared" si="0"/>
        <v>00000000</v>
      </c>
      <c r="AH8" s="47" t="str">
        <f t="shared" si="0"/>
        <v>00000000</v>
      </c>
      <c r="AI8" s="44"/>
      <c r="AJ8" s="44"/>
      <c r="AK8" s="44"/>
      <c r="AL8" s="59" t="s">
        <v>1786</v>
      </c>
      <c r="AM8" s="175" t="s">
        <v>1787</v>
      </c>
      <c r="AN8" s="175"/>
      <c r="AO8" s="175"/>
      <c r="AP8" s="47" t="s">
        <v>89</v>
      </c>
      <c r="AQ8" s="88" t="str">
        <f>MID($U5,7,2)</f>
        <v>11</v>
      </c>
      <c r="AR8" s="68"/>
      <c r="AS8" s="44"/>
      <c r="AT8" s="44"/>
      <c r="AU8" s="44"/>
      <c r="AV8" s="44"/>
      <c r="AW8" s="44"/>
      <c r="AX8" s="56"/>
      <c r="AY8" s="55" t="s">
        <v>1788</v>
      </c>
      <c r="AZ8" s="175" t="s">
        <v>1789</v>
      </c>
      <c r="BA8" s="175"/>
      <c r="BB8" s="175"/>
      <c r="BC8" s="47" t="str">
        <f>MID($BC4,4,1)</f>
        <v>1</v>
      </c>
      <c r="BD8" s="47" t="str">
        <f>MID($BD4,4,1)</f>
        <v>0</v>
      </c>
      <c r="BE8" s="44"/>
      <c r="BF8" s="44"/>
      <c r="BG8" s="44"/>
      <c r="BH8" s="44"/>
      <c r="BI8" s="55" t="s">
        <v>1790</v>
      </c>
      <c r="BJ8" s="175" t="s">
        <v>1791</v>
      </c>
      <c r="BK8" s="175"/>
      <c r="BL8" s="175"/>
      <c r="BM8" s="47" t="str">
        <f>MID($BC4,4,1)</f>
        <v>1</v>
      </c>
      <c r="BN8" s="47" t="str">
        <f>MID($BD4,4,1)</f>
        <v>0</v>
      </c>
      <c r="BO8" s="44"/>
      <c r="BP8" s="44"/>
      <c r="BQ8" s="57"/>
    </row>
    <row r="9" spans="1:69" x14ac:dyDescent="0.3">
      <c r="A9" s="26">
        <v>70</v>
      </c>
      <c r="B9" s="47" t="str">
        <f t="shared" si="1"/>
        <v>00</v>
      </c>
      <c r="C9" s="47" t="str">
        <f t="shared" si="2"/>
        <v>00</v>
      </c>
      <c r="D9" s="47" t="str">
        <f t="shared" si="3"/>
        <v>00</v>
      </c>
      <c r="E9" s="47" t="str">
        <f t="shared" si="4"/>
        <v>00</v>
      </c>
      <c r="F9" s="47" t="str">
        <f t="shared" si="5"/>
        <v>00</v>
      </c>
      <c r="G9" s="47" t="str">
        <f t="shared" si="6"/>
        <v>00</v>
      </c>
      <c r="H9" s="47" t="str">
        <f t="shared" si="7"/>
        <v>00</v>
      </c>
      <c r="I9" s="47" t="str">
        <f t="shared" si="8"/>
        <v>00</v>
      </c>
      <c r="J9" s="47" t="str">
        <f t="shared" si="9"/>
        <v>00</v>
      </c>
      <c r="K9" s="47" t="str">
        <f t="shared" si="10"/>
        <v>00</v>
      </c>
      <c r="L9" s="47" t="str">
        <f t="shared" si="11"/>
        <v>00</v>
      </c>
      <c r="M9" s="47" t="str">
        <f t="shared" si="12"/>
        <v>00</v>
      </c>
      <c r="N9" s="47" t="str">
        <f t="shared" si="13"/>
        <v>00</v>
      </c>
      <c r="O9" s="47" t="str">
        <f t="shared" si="14"/>
        <v>00</v>
      </c>
      <c r="P9" s="47" t="str">
        <f t="shared" si="15"/>
        <v>00</v>
      </c>
      <c r="Q9" s="47" t="str">
        <f t="shared" si="16"/>
        <v>00</v>
      </c>
      <c r="R9" s="53"/>
      <c r="S9" s="47" t="str">
        <f t="shared" si="17"/>
        <v>00000000</v>
      </c>
      <c r="T9" s="47" t="str">
        <f t="shared" si="0"/>
        <v>00000000</v>
      </c>
      <c r="U9" s="47" t="str">
        <f t="shared" si="0"/>
        <v>00000000</v>
      </c>
      <c r="V9" s="47" t="str">
        <f t="shared" si="0"/>
        <v>00000000</v>
      </c>
      <c r="W9" s="47" t="str">
        <f t="shared" si="0"/>
        <v>00000000</v>
      </c>
      <c r="X9" s="47" t="str">
        <f t="shared" si="0"/>
        <v>00000000</v>
      </c>
      <c r="Y9" s="47" t="str">
        <f t="shared" si="0"/>
        <v>00000000</v>
      </c>
      <c r="Z9" s="47" t="str">
        <f t="shared" si="0"/>
        <v>00000000</v>
      </c>
      <c r="AA9" s="47" t="str">
        <f t="shared" si="0"/>
        <v>00000000</v>
      </c>
      <c r="AB9" s="47" t="str">
        <f t="shared" si="0"/>
        <v>00000000</v>
      </c>
      <c r="AC9" s="47" t="str">
        <f t="shared" si="0"/>
        <v>00000000</v>
      </c>
      <c r="AD9" s="47" t="str">
        <f t="shared" si="0"/>
        <v>00000000</v>
      </c>
      <c r="AE9" s="47" t="str">
        <f t="shared" si="0"/>
        <v>00000000</v>
      </c>
      <c r="AF9" s="47" t="str">
        <f t="shared" si="0"/>
        <v>00000000</v>
      </c>
      <c r="AG9" s="47" t="str">
        <f t="shared" si="0"/>
        <v>00000000</v>
      </c>
      <c r="AH9" s="47" t="str">
        <f t="shared" si="0"/>
        <v>00000000</v>
      </c>
      <c r="AI9" s="44"/>
      <c r="AJ9" s="44"/>
      <c r="AK9" s="44"/>
      <c r="AL9" s="59" t="s">
        <v>1792</v>
      </c>
      <c r="AM9" s="175" t="s">
        <v>1793</v>
      </c>
      <c r="AN9" s="175"/>
      <c r="AO9" s="175"/>
      <c r="AP9" s="47" t="s">
        <v>1794</v>
      </c>
      <c r="AQ9" s="88" t="str">
        <f>MID($V2,2,3)</f>
        <v>000</v>
      </c>
      <c r="AR9" s="68"/>
      <c r="AS9" s="44"/>
      <c r="AT9" s="60" t="s">
        <v>1795</v>
      </c>
      <c r="AU9" s="60"/>
      <c r="AV9" s="60"/>
      <c r="AW9" s="44"/>
      <c r="AX9" s="56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57"/>
    </row>
    <row r="10" spans="1:69" x14ac:dyDescent="0.3">
      <c r="A10" s="26">
        <v>80</v>
      </c>
      <c r="B10" s="47" t="str">
        <f t="shared" si="1"/>
        <v>00</v>
      </c>
      <c r="C10" s="47" t="str">
        <f t="shared" si="2"/>
        <v>00</v>
      </c>
      <c r="D10" s="47" t="str">
        <f t="shared" si="3"/>
        <v>00</v>
      </c>
      <c r="E10" s="47" t="str">
        <f t="shared" si="4"/>
        <v>00</v>
      </c>
      <c r="F10" s="47" t="str">
        <f t="shared" si="5"/>
        <v>00</v>
      </c>
      <c r="G10" s="47" t="str">
        <f t="shared" si="6"/>
        <v>00</v>
      </c>
      <c r="H10" s="47" t="str">
        <f t="shared" si="7"/>
        <v>00</v>
      </c>
      <c r="I10" s="47" t="str">
        <f t="shared" si="8"/>
        <v>00</v>
      </c>
      <c r="J10" s="47" t="str">
        <f t="shared" si="9"/>
        <v>00</v>
      </c>
      <c r="K10" s="47" t="str">
        <f t="shared" si="10"/>
        <v>00</v>
      </c>
      <c r="L10" s="47" t="str">
        <f t="shared" si="11"/>
        <v>00</v>
      </c>
      <c r="M10" s="47" t="str">
        <f t="shared" si="12"/>
        <v>00</v>
      </c>
      <c r="N10" s="47" t="str">
        <f t="shared" si="13"/>
        <v>00</v>
      </c>
      <c r="O10" s="47" t="str">
        <f t="shared" si="14"/>
        <v>00</v>
      </c>
      <c r="P10" s="47" t="str">
        <f t="shared" si="15"/>
        <v>00</v>
      </c>
      <c r="Q10" s="47" t="str">
        <f t="shared" si="16"/>
        <v>00</v>
      </c>
      <c r="R10" s="53"/>
      <c r="S10" s="47" t="str">
        <f t="shared" si="17"/>
        <v>00000000</v>
      </c>
      <c r="T10" s="47" t="str">
        <f t="shared" si="0"/>
        <v>00000000</v>
      </c>
      <c r="U10" s="47" t="str">
        <f t="shared" si="0"/>
        <v>00000000</v>
      </c>
      <c r="V10" s="47" t="str">
        <f t="shared" si="0"/>
        <v>00000000</v>
      </c>
      <c r="W10" s="47" t="str">
        <f t="shared" si="0"/>
        <v>00000000</v>
      </c>
      <c r="X10" s="47" t="str">
        <f t="shared" si="0"/>
        <v>00000000</v>
      </c>
      <c r="Y10" s="47" t="str">
        <f t="shared" si="0"/>
        <v>00000000</v>
      </c>
      <c r="Z10" s="47" t="str">
        <f t="shared" si="0"/>
        <v>00000000</v>
      </c>
      <c r="AA10" s="47" t="str">
        <f t="shared" si="0"/>
        <v>00000000</v>
      </c>
      <c r="AB10" s="47" t="str">
        <f t="shared" si="0"/>
        <v>00000000</v>
      </c>
      <c r="AC10" s="47" t="str">
        <f t="shared" si="0"/>
        <v>00000000</v>
      </c>
      <c r="AD10" s="47" t="str">
        <f t="shared" si="0"/>
        <v>00000000</v>
      </c>
      <c r="AE10" s="47" t="str">
        <f t="shared" si="0"/>
        <v>00000000</v>
      </c>
      <c r="AF10" s="47" t="str">
        <f t="shared" si="0"/>
        <v>00000000</v>
      </c>
      <c r="AG10" s="47" t="str">
        <f t="shared" si="0"/>
        <v>00000000</v>
      </c>
      <c r="AH10" s="47" t="str">
        <f t="shared" si="0"/>
        <v>00000000</v>
      </c>
      <c r="AI10" s="44"/>
      <c r="AJ10" s="44"/>
      <c r="AK10" s="44"/>
      <c r="AL10" s="59" t="s">
        <v>433</v>
      </c>
      <c r="AM10" s="175" t="s">
        <v>1796</v>
      </c>
      <c r="AN10" s="175"/>
      <c r="AO10" s="175"/>
      <c r="AP10" s="47">
        <v>11</v>
      </c>
      <c r="AQ10" s="88" t="str">
        <f>MID($V2,5,2)</f>
        <v>11</v>
      </c>
      <c r="AR10" s="129" t="str">
        <f>IF(AQ10="00","2S",IF(AQ10="01","8S",IF(AQ10="10","!!!D2ScheckFRU!!!",IF(AQ10="11","4S","ERR"))))</f>
        <v>4S</v>
      </c>
      <c r="AS10" s="44"/>
      <c r="AT10" s="60" t="s">
        <v>1797</v>
      </c>
      <c r="AU10" s="60" t="s">
        <v>981</v>
      </c>
      <c r="AV10" s="60"/>
      <c r="AW10" s="44"/>
      <c r="AX10" s="56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57"/>
    </row>
    <row r="11" spans="1:69" x14ac:dyDescent="0.3">
      <c r="A11" s="26">
        <v>90</v>
      </c>
      <c r="B11" s="47" t="str">
        <f t="shared" si="1"/>
        <v>00</v>
      </c>
      <c r="C11" s="47" t="str">
        <f t="shared" si="2"/>
        <v>00</v>
      </c>
      <c r="D11" s="47" t="str">
        <f t="shared" si="3"/>
        <v>00</v>
      </c>
      <c r="E11" s="47" t="str">
        <f t="shared" si="4"/>
        <v>00</v>
      </c>
      <c r="F11" s="47" t="str">
        <f t="shared" si="5"/>
        <v>00</v>
      </c>
      <c r="G11" s="47" t="str">
        <f t="shared" si="6"/>
        <v>00</v>
      </c>
      <c r="H11" s="47" t="str">
        <f t="shared" si="7"/>
        <v>00</v>
      </c>
      <c r="I11" s="47" t="str">
        <f t="shared" si="8"/>
        <v>00</v>
      </c>
      <c r="J11" s="47" t="str">
        <f t="shared" si="9"/>
        <v>00</v>
      </c>
      <c r="K11" s="47" t="str">
        <f t="shared" si="10"/>
        <v>00</v>
      </c>
      <c r="L11" s="47" t="str">
        <f t="shared" si="11"/>
        <v>00</v>
      </c>
      <c r="M11" s="47" t="str">
        <f t="shared" si="12"/>
        <v>00</v>
      </c>
      <c r="N11" s="47" t="str">
        <f t="shared" si="13"/>
        <v>00</v>
      </c>
      <c r="O11" s="47" t="str">
        <f t="shared" si="14"/>
        <v>00</v>
      </c>
      <c r="P11" s="47" t="str">
        <f t="shared" si="15"/>
        <v>00</v>
      </c>
      <c r="Q11" s="47" t="str">
        <f t="shared" si="16"/>
        <v>00</v>
      </c>
      <c r="R11" s="53"/>
      <c r="S11" s="47" t="str">
        <f t="shared" si="17"/>
        <v>00000000</v>
      </c>
      <c r="T11" s="47" t="str">
        <f t="shared" si="0"/>
        <v>00000000</v>
      </c>
      <c r="U11" s="47" t="str">
        <f t="shared" si="0"/>
        <v>00000000</v>
      </c>
      <c r="V11" s="47" t="str">
        <f t="shared" si="0"/>
        <v>00000000</v>
      </c>
      <c r="W11" s="47" t="str">
        <f t="shared" si="0"/>
        <v>00000000</v>
      </c>
      <c r="X11" s="47" t="str">
        <f t="shared" si="0"/>
        <v>00000000</v>
      </c>
      <c r="Y11" s="47" t="str">
        <f t="shared" si="0"/>
        <v>00000000</v>
      </c>
      <c r="Z11" s="47" t="str">
        <f t="shared" si="0"/>
        <v>00000000</v>
      </c>
      <c r="AA11" s="47" t="str">
        <f t="shared" si="0"/>
        <v>00000000</v>
      </c>
      <c r="AB11" s="47" t="str">
        <f t="shared" si="0"/>
        <v>00000000</v>
      </c>
      <c r="AC11" s="47" t="str">
        <f t="shared" si="0"/>
        <v>00000000</v>
      </c>
      <c r="AD11" s="47" t="str">
        <f t="shared" si="0"/>
        <v>00000000</v>
      </c>
      <c r="AE11" s="47" t="str">
        <f t="shared" si="0"/>
        <v>00000000</v>
      </c>
      <c r="AF11" s="47" t="str">
        <f t="shared" si="0"/>
        <v>00000000</v>
      </c>
      <c r="AG11" s="47" t="str">
        <f t="shared" si="0"/>
        <v>00000000</v>
      </c>
      <c r="AH11" s="47" t="str">
        <f t="shared" si="0"/>
        <v>00000000</v>
      </c>
      <c r="AI11" s="44"/>
      <c r="AJ11" s="44"/>
      <c r="AK11" s="44"/>
      <c r="AL11" s="59" t="s">
        <v>441</v>
      </c>
      <c r="AM11" s="175" t="s">
        <v>1798</v>
      </c>
      <c r="AN11" s="175"/>
      <c r="AO11" s="175"/>
      <c r="AP11" s="47" t="s">
        <v>89</v>
      </c>
      <c r="AQ11" s="88" t="str">
        <f>MID($V2,7,2)</f>
        <v>00</v>
      </c>
      <c r="AR11" s="130" t="str">
        <f>IF(AQ11="00","SLED0",IF(AQ11="01","SLED1",IF(AQ11="10","SLED2",IF(AQ11="11","SLED3","ERR"))))</f>
        <v>SLED0</v>
      </c>
      <c r="AS11" s="44"/>
      <c r="AT11" s="60" t="s">
        <v>435</v>
      </c>
      <c r="AU11" s="60" t="s">
        <v>991</v>
      </c>
      <c r="AV11" s="60"/>
      <c r="AW11" s="44"/>
      <c r="AX11" s="56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57"/>
    </row>
    <row r="12" spans="1:69" x14ac:dyDescent="0.3">
      <c r="A12" s="26" t="s">
        <v>129</v>
      </c>
      <c r="B12" s="47" t="str">
        <f t="shared" si="1"/>
        <v>00</v>
      </c>
      <c r="C12" s="47" t="str">
        <f t="shared" si="2"/>
        <v>00</v>
      </c>
      <c r="D12" s="47" t="str">
        <f t="shared" si="3"/>
        <v>00</v>
      </c>
      <c r="E12" s="47" t="str">
        <f t="shared" si="4"/>
        <v>00</v>
      </c>
      <c r="F12" s="47" t="str">
        <f t="shared" si="5"/>
        <v>00</v>
      </c>
      <c r="G12" s="47" t="str">
        <f t="shared" si="6"/>
        <v>80</v>
      </c>
      <c r="H12" s="47" t="str">
        <f t="shared" si="7"/>
        <v>00</v>
      </c>
      <c r="I12" s="47" t="str">
        <f t="shared" si="8"/>
        <v>1c</v>
      </c>
      <c r="J12" s="47" t="str">
        <f t="shared" si="9"/>
        <v>00</v>
      </c>
      <c r="K12" s="47" t="str">
        <f t="shared" si="10"/>
        <v>19</v>
      </c>
      <c r="L12" s="47" t="str">
        <f t="shared" si="11"/>
        <v>19</v>
      </c>
      <c r="M12" s="47" t="str">
        <f t="shared" si="12"/>
        <v>01</v>
      </c>
      <c r="N12" s="47" t="str">
        <f t="shared" si="13"/>
        <v>00</v>
      </c>
      <c r="O12" s="47" t="str">
        <f t="shared" si="14"/>
        <v>00</v>
      </c>
      <c r="P12" s="47" t="str">
        <f t="shared" si="15"/>
        <v>00</v>
      </c>
      <c r="Q12" s="47" t="str">
        <f t="shared" si="16"/>
        <v>03</v>
      </c>
      <c r="R12" s="53"/>
      <c r="S12" s="47" t="str">
        <f t="shared" si="17"/>
        <v>00000000</v>
      </c>
      <c r="T12" s="47" t="str">
        <f t="shared" si="0"/>
        <v>00000000</v>
      </c>
      <c r="U12" s="47" t="str">
        <f t="shared" si="0"/>
        <v>00000000</v>
      </c>
      <c r="V12" s="47" t="str">
        <f t="shared" si="0"/>
        <v>00000000</v>
      </c>
      <c r="W12" s="47" t="str">
        <f t="shared" si="0"/>
        <v>00000000</v>
      </c>
      <c r="X12" s="47" t="str">
        <f t="shared" si="0"/>
        <v>10000000</v>
      </c>
      <c r="Y12" s="47" t="str">
        <f t="shared" si="0"/>
        <v>00000000</v>
      </c>
      <c r="Z12" s="47" t="str">
        <f t="shared" si="0"/>
        <v>00011100</v>
      </c>
      <c r="AA12" s="47" t="str">
        <f t="shared" si="0"/>
        <v>00000000</v>
      </c>
      <c r="AB12" s="47" t="str">
        <f t="shared" si="0"/>
        <v>00011001</v>
      </c>
      <c r="AC12" s="47" t="str">
        <f t="shared" si="0"/>
        <v>00011001</v>
      </c>
      <c r="AD12" s="47" t="str">
        <f t="shared" si="0"/>
        <v>00000001</v>
      </c>
      <c r="AE12" s="47" t="str">
        <f t="shared" si="0"/>
        <v>00000000</v>
      </c>
      <c r="AF12" s="47" t="str">
        <f t="shared" si="0"/>
        <v>00000000</v>
      </c>
      <c r="AG12" s="47" t="str">
        <f t="shared" si="0"/>
        <v>00000000</v>
      </c>
      <c r="AH12" s="47" t="str">
        <f t="shared" si="0"/>
        <v>00000011</v>
      </c>
      <c r="AI12" s="44"/>
      <c r="AJ12" s="44"/>
      <c r="AK12" s="44"/>
      <c r="AL12" s="59" t="s">
        <v>1799</v>
      </c>
      <c r="AM12" s="175" t="s">
        <v>1800</v>
      </c>
      <c r="AN12" s="175"/>
      <c r="AO12" s="175"/>
      <c r="AP12" s="47" t="s">
        <v>82</v>
      </c>
      <c r="AQ12" s="88" t="str">
        <f>MID($W2,8,1)</f>
        <v>1</v>
      </c>
      <c r="AR12" s="68"/>
      <c r="AS12" s="44"/>
      <c r="AT12" s="60" t="s">
        <v>419</v>
      </c>
      <c r="AU12" s="60" t="s">
        <v>134</v>
      </c>
      <c r="AV12" s="60"/>
      <c r="AW12" s="44"/>
      <c r="AX12" s="56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57"/>
    </row>
    <row r="13" spans="1:69" x14ac:dyDescent="0.3">
      <c r="A13" s="26" t="s">
        <v>139</v>
      </c>
      <c r="B13" s="47" t="str">
        <f t="shared" si="1"/>
        <v>00</v>
      </c>
      <c r="C13" s="47" t="str">
        <f t="shared" si="2"/>
        <v>00</v>
      </c>
      <c r="D13" s="47" t="str">
        <f t="shared" si="3"/>
        <v>00</v>
      </c>
      <c r="E13" s="47" t="str">
        <f t="shared" si="4"/>
        <v>00</v>
      </c>
      <c r="F13" s="47" t="str">
        <f t="shared" si="5"/>
        <v>00</v>
      </c>
      <c r="G13" s="47" t="str">
        <f t="shared" si="6"/>
        <v>00</v>
      </c>
      <c r="H13" s="47" t="str">
        <f t="shared" si="7"/>
        <v>00</v>
      </c>
      <c r="I13" s="47" t="str">
        <f t="shared" si="8"/>
        <v>00</v>
      </c>
      <c r="J13" s="47" t="str">
        <f t="shared" si="9"/>
        <v>00</v>
      </c>
      <c r="K13" s="47" t="str">
        <f t="shared" si="10"/>
        <v>00</v>
      </c>
      <c r="L13" s="47" t="str">
        <f t="shared" si="11"/>
        <v>00</v>
      </c>
      <c r="M13" s="47" t="str">
        <f t="shared" si="12"/>
        <v>00</v>
      </c>
      <c r="N13" s="47" t="str">
        <f t="shared" si="13"/>
        <v>00</v>
      </c>
      <c r="O13" s="47" t="str">
        <f t="shared" si="14"/>
        <v>00</v>
      </c>
      <c r="P13" s="47" t="str">
        <f t="shared" si="15"/>
        <v>00</v>
      </c>
      <c r="Q13" s="47" t="str">
        <f t="shared" si="16"/>
        <v>00</v>
      </c>
      <c r="R13" s="53"/>
      <c r="S13" s="47" t="str">
        <f t="shared" si="17"/>
        <v>00000000</v>
      </c>
      <c r="T13" s="47" t="str">
        <f t="shared" si="0"/>
        <v>00000000</v>
      </c>
      <c r="U13" s="47" t="str">
        <f t="shared" si="0"/>
        <v>00000000</v>
      </c>
      <c r="V13" s="47" t="str">
        <f t="shared" si="0"/>
        <v>00000000</v>
      </c>
      <c r="W13" s="47" t="str">
        <f t="shared" si="0"/>
        <v>00000000</v>
      </c>
      <c r="X13" s="47" t="str">
        <f t="shared" si="0"/>
        <v>00000000</v>
      </c>
      <c r="Y13" s="47" t="str">
        <f t="shared" si="0"/>
        <v>00000000</v>
      </c>
      <c r="Z13" s="47" t="str">
        <f t="shared" si="0"/>
        <v>00000000</v>
      </c>
      <c r="AA13" s="47" t="str">
        <f t="shared" si="0"/>
        <v>00000000</v>
      </c>
      <c r="AB13" s="47" t="str">
        <f t="shared" si="0"/>
        <v>00000000</v>
      </c>
      <c r="AC13" s="47" t="str">
        <f t="shared" si="0"/>
        <v>00000000</v>
      </c>
      <c r="AD13" s="47" t="str">
        <f t="shared" si="0"/>
        <v>00000000</v>
      </c>
      <c r="AE13" s="47" t="str">
        <f t="shared" si="0"/>
        <v>00000000</v>
      </c>
      <c r="AF13" s="47" t="str">
        <f t="shared" si="0"/>
        <v>00000000</v>
      </c>
      <c r="AG13" s="47" t="str">
        <f t="shared" si="0"/>
        <v>00000000</v>
      </c>
      <c r="AH13" s="47" t="str">
        <f t="shared" si="0"/>
        <v>00000000</v>
      </c>
      <c r="AI13" s="44"/>
      <c r="AJ13" s="44"/>
      <c r="AK13" s="44"/>
      <c r="AL13" s="55"/>
      <c r="AM13" s="185" t="s">
        <v>1801</v>
      </c>
      <c r="AN13" s="185"/>
      <c r="AO13" s="185"/>
      <c r="AP13" s="47"/>
      <c r="AQ13" s="88"/>
      <c r="AR13" s="68"/>
      <c r="AS13" s="44"/>
      <c r="AT13" s="60"/>
      <c r="AU13" s="60"/>
      <c r="AV13" s="60"/>
      <c r="AW13" s="44"/>
      <c r="AX13" s="56"/>
      <c r="AY13" s="55"/>
      <c r="AZ13" s="176" t="s">
        <v>75</v>
      </c>
      <c r="BA13" s="176"/>
      <c r="BB13" s="176"/>
      <c r="BC13" s="1" t="s">
        <v>19</v>
      </c>
      <c r="BD13" s="1" t="s">
        <v>2</v>
      </c>
      <c r="BE13" s="44"/>
      <c r="BF13" s="44"/>
      <c r="BG13" s="44"/>
      <c r="BH13" s="44"/>
      <c r="BI13" s="55"/>
      <c r="BJ13" s="176" t="s">
        <v>75</v>
      </c>
      <c r="BK13" s="176"/>
      <c r="BL13" s="176"/>
      <c r="BM13" s="1" t="s">
        <v>19</v>
      </c>
      <c r="BN13" s="1" t="s">
        <v>2</v>
      </c>
      <c r="BO13" s="44"/>
      <c r="BP13" s="44"/>
      <c r="BQ13" s="57"/>
    </row>
    <row r="14" spans="1:69" x14ac:dyDescent="0.3">
      <c r="A14" s="26" t="s">
        <v>144</v>
      </c>
      <c r="B14" s="47" t="str">
        <f t="shared" si="1"/>
        <v>00</v>
      </c>
      <c r="C14" s="47" t="str">
        <f t="shared" si="2"/>
        <v>00</v>
      </c>
      <c r="D14" s="47" t="str">
        <f t="shared" si="3"/>
        <v>00</v>
      </c>
      <c r="E14" s="47" t="str">
        <f t="shared" si="4"/>
        <v>00</v>
      </c>
      <c r="F14" s="47" t="str">
        <f t="shared" si="5"/>
        <v>00</v>
      </c>
      <c r="G14" s="47" t="str">
        <f t="shared" si="6"/>
        <v>00</v>
      </c>
      <c r="H14" s="47" t="str">
        <f t="shared" si="7"/>
        <v>00</v>
      </c>
      <c r="I14" s="47" t="str">
        <f t="shared" si="8"/>
        <v>00</v>
      </c>
      <c r="J14" s="47" t="str">
        <f t="shared" si="9"/>
        <v>00</v>
      </c>
      <c r="K14" s="47" t="str">
        <f t="shared" si="10"/>
        <v>00</v>
      </c>
      <c r="L14" s="47" t="str">
        <f t="shared" si="11"/>
        <v>00</v>
      </c>
      <c r="M14" s="47" t="str">
        <f t="shared" si="12"/>
        <v>00</v>
      </c>
      <c r="N14" s="47" t="str">
        <f t="shared" si="13"/>
        <v>00</v>
      </c>
      <c r="O14" s="47" t="str">
        <f t="shared" si="14"/>
        <v>00</v>
      </c>
      <c r="P14" s="47" t="str">
        <f t="shared" si="15"/>
        <v>00</v>
      </c>
      <c r="Q14" s="47" t="str">
        <f t="shared" si="16"/>
        <v>00</v>
      </c>
      <c r="R14" s="53"/>
      <c r="S14" s="47" t="str">
        <f t="shared" si="17"/>
        <v>00000000</v>
      </c>
      <c r="T14" s="47" t="str">
        <f t="shared" si="0"/>
        <v>00000000</v>
      </c>
      <c r="U14" s="47" t="str">
        <f t="shared" si="0"/>
        <v>00000000</v>
      </c>
      <c r="V14" s="47" t="str">
        <f t="shared" si="0"/>
        <v>00000000</v>
      </c>
      <c r="W14" s="47" t="str">
        <f t="shared" si="0"/>
        <v>00000000</v>
      </c>
      <c r="X14" s="47" t="str">
        <f t="shared" si="0"/>
        <v>00000000</v>
      </c>
      <c r="Y14" s="47" t="str">
        <f t="shared" si="0"/>
        <v>00000000</v>
      </c>
      <c r="Z14" s="47" t="str">
        <f t="shared" si="0"/>
        <v>00000000</v>
      </c>
      <c r="AA14" s="47" t="str">
        <f t="shared" si="0"/>
        <v>00000000</v>
      </c>
      <c r="AB14" s="47" t="str">
        <f t="shared" si="0"/>
        <v>00000000</v>
      </c>
      <c r="AC14" s="47" t="str">
        <f t="shared" si="0"/>
        <v>00000000</v>
      </c>
      <c r="AD14" s="47" t="str">
        <f t="shared" si="0"/>
        <v>00000000</v>
      </c>
      <c r="AE14" s="47" t="str">
        <f t="shared" si="0"/>
        <v>00000000</v>
      </c>
      <c r="AF14" s="47" t="str">
        <f t="shared" si="0"/>
        <v>00000000</v>
      </c>
      <c r="AG14" s="47" t="str">
        <f t="shared" si="0"/>
        <v>00000000</v>
      </c>
      <c r="AH14" s="47" t="str">
        <f t="shared" si="0"/>
        <v>00000000</v>
      </c>
      <c r="AI14" s="44"/>
      <c r="AJ14" s="44"/>
      <c r="AK14" s="44"/>
      <c r="AL14" s="59" t="s">
        <v>1764</v>
      </c>
      <c r="AM14" s="175" t="s">
        <v>1765</v>
      </c>
      <c r="AN14" s="175"/>
      <c r="AO14" s="175"/>
      <c r="AP14" s="47" t="s">
        <v>1802</v>
      </c>
      <c r="AQ14" s="88" t="str">
        <f>MID($Y4,1,4)</f>
        <v>0000</v>
      </c>
      <c r="AR14" s="68"/>
      <c r="AS14" s="44"/>
      <c r="AT14" s="60" t="s">
        <v>107</v>
      </c>
      <c r="AU14" s="60"/>
      <c r="AV14" s="60"/>
      <c r="AW14" s="44"/>
      <c r="AX14" s="56"/>
      <c r="AY14" s="2" t="s">
        <v>1803</v>
      </c>
      <c r="AZ14" s="177" t="s">
        <v>1804</v>
      </c>
      <c r="BA14" s="177"/>
      <c r="BB14" s="177"/>
      <c r="BC14" s="58" t="str">
        <f>AP15</f>
        <v>0000</v>
      </c>
      <c r="BD14" s="58" t="str">
        <f>AQ15</f>
        <v>1111</v>
      </c>
      <c r="BE14" s="44"/>
      <c r="BF14" s="44"/>
      <c r="BG14" s="44"/>
      <c r="BH14" s="44"/>
      <c r="BI14" s="2" t="s">
        <v>1805</v>
      </c>
      <c r="BJ14" s="187" t="s">
        <v>1806</v>
      </c>
      <c r="BK14" s="177"/>
      <c r="BL14" s="177"/>
      <c r="BM14" s="58" t="str">
        <f>AP30</f>
        <v>0000</v>
      </c>
      <c r="BN14" s="58" t="str">
        <f>AQ30</f>
        <v>0000</v>
      </c>
      <c r="BO14" s="44"/>
      <c r="BP14" s="44"/>
      <c r="BQ14" s="57"/>
    </row>
    <row r="15" spans="1:69" x14ac:dyDescent="0.3">
      <c r="A15" s="26" t="s">
        <v>154</v>
      </c>
      <c r="B15" s="47" t="str">
        <f t="shared" si="1"/>
        <v>00</v>
      </c>
      <c r="C15" s="47" t="str">
        <f t="shared" si="2"/>
        <v>00</v>
      </c>
      <c r="D15" s="47" t="str">
        <f t="shared" si="3"/>
        <v>00</v>
      </c>
      <c r="E15" s="47" t="str">
        <f t="shared" si="4"/>
        <v>00</v>
      </c>
      <c r="F15" s="47" t="str">
        <f t="shared" si="5"/>
        <v>00</v>
      </c>
      <c r="G15" s="47" t="str">
        <f t="shared" si="6"/>
        <v>00</v>
      </c>
      <c r="H15" s="47" t="str">
        <f t="shared" si="7"/>
        <v>00</v>
      </c>
      <c r="I15" s="47" t="str">
        <f t="shared" si="8"/>
        <v>00</v>
      </c>
      <c r="J15" s="47" t="str">
        <f t="shared" si="9"/>
        <v>00</v>
      </c>
      <c r="K15" s="47" t="str">
        <f t="shared" si="10"/>
        <v>00</v>
      </c>
      <c r="L15" s="47" t="str">
        <f t="shared" si="11"/>
        <v>00</v>
      </c>
      <c r="M15" s="47" t="str">
        <f t="shared" si="12"/>
        <v>00</v>
      </c>
      <c r="N15" s="47" t="str">
        <f t="shared" si="13"/>
        <v>00</v>
      </c>
      <c r="O15" s="47" t="str">
        <f t="shared" si="14"/>
        <v>00</v>
      </c>
      <c r="P15" s="47" t="str">
        <f t="shared" si="15"/>
        <v>00</v>
      </c>
      <c r="Q15" s="47" t="str">
        <f t="shared" si="16"/>
        <v>00</v>
      </c>
      <c r="R15" s="53"/>
      <c r="S15" s="47" t="str">
        <f t="shared" si="17"/>
        <v>00000000</v>
      </c>
      <c r="T15" s="47" t="str">
        <f t="shared" si="0"/>
        <v>00000000</v>
      </c>
      <c r="U15" s="47" t="str">
        <f t="shared" si="0"/>
        <v>00000000</v>
      </c>
      <c r="V15" s="47" t="str">
        <f t="shared" si="0"/>
        <v>00000000</v>
      </c>
      <c r="W15" s="47" t="str">
        <f t="shared" si="0"/>
        <v>00000000</v>
      </c>
      <c r="X15" s="47" t="str">
        <f t="shared" si="0"/>
        <v>00000000</v>
      </c>
      <c r="Y15" s="47" t="str">
        <f t="shared" si="0"/>
        <v>00000000</v>
      </c>
      <c r="Z15" s="47" t="str">
        <f t="shared" si="0"/>
        <v>00000000</v>
      </c>
      <c r="AA15" s="47" t="str">
        <f t="shared" si="0"/>
        <v>00000000</v>
      </c>
      <c r="AB15" s="47" t="str">
        <f t="shared" si="0"/>
        <v>00000000</v>
      </c>
      <c r="AC15" s="47" t="str">
        <f t="shared" si="0"/>
        <v>00000000</v>
      </c>
      <c r="AD15" s="47" t="str">
        <f t="shared" si="0"/>
        <v>00000000</v>
      </c>
      <c r="AE15" s="47" t="str">
        <f t="shared" si="0"/>
        <v>00000000</v>
      </c>
      <c r="AF15" s="47" t="str">
        <f t="shared" si="0"/>
        <v>00000000</v>
      </c>
      <c r="AG15" s="47" t="str">
        <f t="shared" si="0"/>
        <v>00000000</v>
      </c>
      <c r="AH15" s="47" t="str">
        <f t="shared" si="0"/>
        <v>00000000</v>
      </c>
      <c r="AI15" s="44"/>
      <c r="AJ15" s="44"/>
      <c r="AK15" s="44"/>
      <c r="AL15" s="59" t="s">
        <v>1803</v>
      </c>
      <c r="AM15" s="175" t="s">
        <v>1804</v>
      </c>
      <c r="AN15" s="175"/>
      <c r="AO15" s="175"/>
      <c r="AP15" s="47" t="s">
        <v>1807</v>
      </c>
      <c r="AQ15" s="88" t="str">
        <f>MID($Z4,1,4)</f>
        <v>1111</v>
      </c>
      <c r="AR15" s="68"/>
      <c r="AS15" s="44"/>
      <c r="AT15" s="60" t="s">
        <v>411</v>
      </c>
      <c r="AU15" s="60" t="s">
        <v>935</v>
      </c>
      <c r="AV15" s="60"/>
      <c r="AW15" s="44"/>
      <c r="AX15" s="56"/>
      <c r="AY15" s="55" t="s">
        <v>1808</v>
      </c>
      <c r="AZ15" s="175" t="s">
        <v>1809</v>
      </c>
      <c r="BA15" s="175"/>
      <c r="BB15" s="175"/>
      <c r="BC15" s="47" t="str">
        <f>MID($BC14,1,1)</f>
        <v>0</v>
      </c>
      <c r="BD15" s="47" t="str">
        <f>MID($BD14,1,1)</f>
        <v>1</v>
      </c>
      <c r="BE15" s="44"/>
      <c r="BF15" s="44"/>
      <c r="BG15" s="44"/>
      <c r="BH15" s="44"/>
      <c r="BI15" s="55" t="s">
        <v>1810</v>
      </c>
      <c r="BJ15" s="175" t="s">
        <v>1811</v>
      </c>
      <c r="BK15" s="175"/>
      <c r="BL15" s="175"/>
      <c r="BM15" s="47" t="str">
        <f>MID($BC14,1,1)</f>
        <v>0</v>
      </c>
      <c r="BN15" s="47" t="str">
        <f>MID($BD14,1,1)</f>
        <v>1</v>
      </c>
      <c r="BO15" s="44"/>
      <c r="BP15" s="44"/>
      <c r="BQ15" s="57"/>
    </row>
    <row r="16" spans="1:69" x14ac:dyDescent="0.3">
      <c r="A16" s="26" t="s">
        <v>163</v>
      </c>
      <c r="B16" s="47" t="str">
        <f t="shared" si="1"/>
        <v>00</v>
      </c>
      <c r="C16" s="47" t="str">
        <f t="shared" si="2"/>
        <v>00</v>
      </c>
      <c r="D16" s="47" t="str">
        <f t="shared" si="3"/>
        <v>00</v>
      </c>
      <c r="E16" s="47" t="str">
        <f t="shared" si="4"/>
        <v>00</v>
      </c>
      <c r="F16" s="47" t="str">
        <f t="shared" si="5"/>
        <v>00</v>
      </c>
      <c r="G16" s="47" t="str">
        <f t="shared" si="6"/>
        <v>00</v>
      </c>
      <c r="H16" s="47" t="str">
        <f t="shared" si="7"/>
        <v>00</v>
      </c>
      <c r="I16" s="47" t="str">
        <f t="shared" si="8"/>
        <v>00</v>
      </c>
      <c r="J16" s="47" t="str">
        <f t="shared" si="9"/>
        <v>00</v>
      </c>
      <c r="K16" s="47" t="str">
        <f t="shared" si="10"/>
        <v>00</v>
      </c>
      <c r="L16" s="47" t="str">
        <f t="shared" si="11"/>
        <v>00</v>
      </c>
      <c r="M16" s="47" t="str">
        <f t="shared" si="12"/>
        <v>00</v>
      </c>
      <c r="N16" s="47" t="str">
        <f t="shared" si="13"/>
        <v>00</v>
      </c>
      <c r="O16" s="47" t="str">
        <f t="shared" si="14"/>
        <v>00</v>
      </c>
      <c r="P16" s="47" t="str">
        <f t="shared" si="15"/>
        <v>00</v>
      </c>
      <c r="Q16" s="47" t="str">
        <f t="shared" si="16"/>
        <v>00</v>
      </c>
      <c r="R16" s="53"/>
      <c r="S16" s="47" t="str">
        <f t="shared" si="17"/>
        <v>00000000</v>
      </c>
      <c r="T16" s="47" t="str">
        <f t="shared" si="0"/>
        <v>00000000</v>
      </c>
      <c r="U16" s="47" t="str">
        <f t="shared" si="0"/>
        <v>00000000</v>
      </c>
      <c r="V16" s="47" t="str">
        <f t="shared" si="0"/>
        <v>00000000</v>
      </c>
      <c r="W16" s="47" t="str">
        <f t="shared" si="0"/>
        <v>00000000</v>
      </c>
      <c r="X16" s="47" t="str">
        <f t="shared" si="0"/>
        <v>00000000</v>
      </c>
      <c r="Y16" s="47" t="str">
        <f t="shared" si="0"/>
        <v>00000000</v>
      </c>
      <c r="Z16" s="47" t="str">
        <f t="shared" si="0"/>
        <v>00000000</v>
      </c>
      <c r="AA16" s="47" t="str">
        <f t="shared" si="0"/>
        <v>00000000</v>
      </c>
      <c r="AB16" s="47" t="str">
        <f t="shared" si="0"/>
        <v>00000000</v>
      </c>
      <c r="AC16" s="47" t="str">
        <f t="shared" si="0"/>
        <v>00000000</v>
      </c>
      <c r="AD16" s="47" t="str">
        <f t="shared" si="0"/>
        <v>00000000</v>
      </c>
      <c r="AE16" s="47" t="str">
        <f t="shared" si="0"/>
        <v>00000000</v>
      </c>
      <c r="AF16" s="47" t="str">
        <f t="shared" si="0"/>
        <v>00000000</v>
      </c>
      <c r="AG16" s="47" t="str">
        <f t="shared" si="0"/>
        <v>00000000</v>
      </c>
      <c r="AH16" s="47" t="str">
        <f t="shared" si="0"/>
        <v>00000000</v>
      </c>
      <c r="AI16" s="44"/>
      <c r="AJ16" s="44"/>
      <c r="AK16" s="44"/>
      <c r="AL16" s="59" t="s">
        <v>1812</v>
      </c>
      <c r="AM16" s="175" t="s">
        <v>1813</v>
      </c>
      <c r="AN16" s="175"/>
      <c r="AO16" s="175"/>
      <c r="AP16" s="47" t="s">
        <v>1802</v>
      </c>
      <c r="AQ16" s="88" t="str">
        <f>MID($AA4,1,4)</f>
        <v>0000</v>
      </c>
      <c r="AR16" s="68"/>
      <c r="AS16" s="44"/>
      <c r="AT16" s="44" t="s">
        <v>419</v>
      </c>
      <c r="AU16" s="44" t="s">
        <v>946</v>
      </c>
      <c r="AV16" s="44"/>
      <c r="AW16" s="44"/>
      <c r="AX16" s="56"/>
      <c r="AY16" s="55" t="s">
        <v>1814</v>
      </c>
      <c r="AZ16" s="175" t="s">
        <v>1815</v>
      </c>
      <c r="BA16" s="175"/>
      <c r="BB16" s="175"/>
      <c r="BC16" s="47" t="str">
        <f>MID($BC14,2,1)</f>
        <v>0</v>
      </c>
      <c r="BD16" s="47" t="str">
        <f>MID($BD14,3,1)</f>
        <v>1</v>
      </c>
      <c r="BE16" s="44"/>
      <c r="BF16" s="44"/>
      <c r="BG16" s="44"/>
      <c r="BH16" s="44"/>
      <c r="BI16" s="55" t="s">
        <v>1816</v>
      </c>
      <c r="BJ16" s="175" t="s">
        <v>1817</v>
      </c>
      <c r="BK16" s="175"/>
      <c r="BL16" s="175"/>
      <c r="BM16" s="47" t="str">
        <f>MID($BC14,2,1)</f>
        <v>0</v>
      </c>
      <c r="BN16" s="47" t="str">
        <f>MID($BD14,3,1)</f>
        <v>1</v>
      </c>
      <c r="BO16" s="44"/>
      <c r="BP16" s="44"/>
      <c r="BQ16" s="57"/>
    </row>
    <row r="17" spans="1:69" x14ac:dyDescent="0.3">
      <c r="A17" s="26" t="s">
        <v>173</v>
      </c>
      <c r="B17" s="47" t="str">
        <f t="shared" si="1"/>
        <v>00</v>
      </c>
      <c r="C17" s="47" t="str">
        <f t="shared" si="2"/>
        <v>00</v>
      </c>
      <c r="D17" s="47" t="str">
        <f t="shared" si="3"/>
        <v>00</v>
      </c>
      <c r="E17" s="47" t="str">
        <f t="shared" si="4"/>
        <v>00</v>
      </c>
      <c r="F17" s="47" t="str">
        <f t="shared" si="5"/>
        <v>00</v>
      </c>
      <c r="G17" s="47" t="str">
        <f t="shared" si="6"/>
        <v>00</v>
      </c>
      <c r="H17" s="47" t="str">
        <f t="shared" si="7"/>
        <v>00</v>
      </c>
      <c r="I17" s="47" t="str">
        <f t="shared" si="8"/>
        <v>00</v>
      </c>
      <c r="J17" s="47" t="str">
        <f t="shared" si="9"/>
        <v>00</v>
      </c>
      <c r="K17" s="47" t="str">
        <f t="shared" si="10"/>
        <v>00</v>
      </c>
      <c r="L17" s="47" t="str">
        <f t="shared" si="11"/>
        <v>00</v>
      </c>
      <c r="M17" s="47" t="str">
        <f t="shared" si="12"/>
        <v>00</v>
      </c>
      <c r="N17" s="47" t="str">
        <f t="shared" si="13"/>
        <v>00</v>
      </c>
      <c r="O17" s="47" t="str">
        <f t="shared" si="14"/>
        <v>00</v>
      </c>
      <c r="P17" s="47" t="str">
        <f t="shared" si="15"/>
        <v>02</v>
      </c>
      <c r="Q17" s="47" t="str">
        <f t="shared" si="16"/>
        <v>08</v>
      </c>
      <c r="R17" s="62"/>
      <c r="S17" s="47" t="str">
        <f t="shared" si="17"/>
        <v>00000000</v>
      </c>
      <c r="T17" s="47" t="str">
        <f t="shared" si="0"/>
        <v>00000000</v>
      </c>
      <c r="U17" s="47" t="str">
        <f t="shared" si="0"/>
        <v>00000000</v>
      </c>
      <c r="V17" s="47" t="str">
        <f t="shared" si="0"/>
        <v>00000000</v>
      </c>
      <c r="W17" s="47" t="str">
        <f t="shared" si="0"/>
        <v>00000000</v>
      </c>
      <c r="X17" s="47" t="str">
        <f t="shared" si="0"/>
        <v>00000000</v>
      </c>
      <c r="Y17" s="47" t="str">
        <f t="shared" si="0"/>
        <v>00000000</v>
      </c>
      <c r="Z17" s="47" t="str">
        <f t="shared" si="0"/>
        <v>00000000</v>
      </c>
      <c r="AA17" s="47" t="str">
        <f t="shared" si="0"/>
        <v>00000000</v>
      </c>
      <c r="AB17" s="47" t="str">
        <f t="shared" si="0"/>
        <v>00000000</v>
      </c>
      <c r="AC17" s="47" t="str">
        <f t="shared" si="0"/>
        <v>00000000</v>
      </c>
      <c r="AD17" s="47" t="str">
        <f t="shared" si="0"/>
        <v>00000000</v>
      </c>
      <c r="AE17" s="47" t="str">
        <f t="shared" si="0"/>
        <v>00000000</v>
      </c>
      <c r="AF17" s="47" t="str">
        <f t="shared" si="0"/>
        <v>00000000</v>
      </c>
      <c r="AG17" s="47" t="str">
        <f t="shared" si="0"/>
        <v>00000010</v>
      </c>
      <c r="AH17" s="47" t="str">
        <f t="shared" si="0"/>
        <v>00001000</v>
      </c>
      <c r="AI17" s="44"/>
      <c r="AJ17" s="44"/>
      <c r="AK17" s="44"/>
      <c r="AL17" s="59" t="s">
        <v>1818</v>
      </c>
      <c r="AM17" s="175" t="s">
        <v>1819</v>
      </c>
      <c r="AN17" s="175"/>
      <c r="AO17" s="175"/>
      <c r="AP17" s="47" t="s">
        <v>1807</v>
      </c>
      <c r="AQ17" s="88" t="str">
        <f>MID($AB4,1,4)</f>
        <v>1111</v>
      </c>
      <c r="AR17" s="68"/>
      <c r="AS17" s="44"/>
      <c r="AT17" s="44" t="s">
        <v>427</v>
      </c>
      <c r="AU17" s="44" t="s">
        <v>959</v>
      </c>
      <c r="AV17" s="44"/>
      <c r="AW17" s="44"/>
      <c r="AX17" s="56"/>
      <c r="AY17" s="55" t="s">
        <v>1820</v>
      </c>
      <c r="AZ17" s="175" t="s">
        <v>1821</v>
      </c>
      <c r="BA17" s="175"/>
      <c r="BB17" s="175"/>
      <c r="BC17" s="47" t="str">
        <f>MID($BC14,3,1)</f>
        <v>0</v>
      </c>
      <c r="BD17" s="47" t="str">
        <f>MID($BD14,3,1)</f>
        <v>1</v>
      </c>
      <c r="BE17" s="44"/>
      <c r="BF17" s="44"/>
      <c r="BG17" s="44"/>
      <c r="BH17" s="44"/>
      <c r="BI17" s="55" t="s">
        <v>1822</v>
      </c>
      <c r="BJ17" s="175" t="s">
        <v>1823</v>
      </c>
      <c r="BK17" s="175"/>
      <c r="BL17" s="175"/>
      <c r="BM17" s="47" t="str">
        <f>MID($BC14,3,1)</f>
        <v>0</v>
      </c>
      <c r="BN17" s="47" t="str">
        <f>MID($BD14,3,1)</f>
        <v>1</v>
      </c>
      <c r="BO17" s="44"/>
      <c r="BP17" s="44"/>
      <c r="BQ17" s="57"/>
    </row>
    <row r="18" spans="1:69" x14ac:dyDescent="0.3">
      <c r="A18" s="44"/>
      <c r="B18" s="44"/>
      <c r="C18" s="51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51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59" t="s">
        <v>1824</v>
      </c>
      <c r="AM18" s="175" t="s">
        <v>1825</v>
      </c>
      <c r="AN18" s="175"/>
      <c r="AO18" s="175"/>
      <c r="AP18" s="47" t="s">
        <v>1807</v>
      </c>
      <c r="AQ18" s="88" t="str">
        <f>MID($AC4,1,4)</f>
        <v>1111</v>
      </c>
      <c r="AR18" s="68"/>
      <c r="AS18" s="44"/>
      <c r="AT18" s="44" t="s">
        <v>435</v>
      </c>
      <c r="AU18" s="44" t="s">
        <v>973</v>
      </c>
      <c r="AV18" s="44"/>
      <c r="AW18" s="44"/>
      <c r="AX18" s="56"/>
      <c r="AY18" s="55" t="s">
        <v>1826</v>
      </c>
      <c r="AZ18" s="175" t="s">
        <v>1827</v>
      </c>
      <c r="BA18" s="175"/>
      <c r="BB18" s="175"/>
      <c r="BC18" s="47" t="str">
        <f>MID($BC14,4,1)</f>
        <v>0</v>
      </c>
      <c r="BD18" s="47" t="str">
        <f>MID($BD14,4,1)</f>
        <v>1</v>
      </c>
      <c r="BE18" s="44"/>
      <c r="BF18" s="44"/>
      <c r="BG18" s="44"/>
      <c r="BH18" s="44"/>
      <c r="BI18" s="55" t="s">
        <v>1828</v>
      </c>
      <c r="BJ18" s="175" t="s">
        <v>1829</v>
      </c>
      <c r="BK18" s="175"/>
      <c r="BL18" s="175"/>
      <c r="BM18" s="47" t="str">
        <f>MID($BC14,4,1)</f>
        <v>0</v>
      </c>
      <c r="BN18" s="47" t="str">
        <f>MID($BD14,4,1)</f>
        <v>1</v>
      </c>
      <c r="BO18" s="44"/>
      <c r="BP18" s="44"/>
      <c r="BQ18" s="57"/>
    </row>
    <row r="19" spans="1:69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59" t="s">
        <v>1830</v>
      </c>
      <c r="AM19" s="175" t="s">
        <v>1831</v>
      </c>
      <c r="AN19" s="175"/>
      <c r="AO19" s="175"/>
      <c r="AP19" s="47" t="s">
        <v>1802</v>
      </c>
      <c r="AQ19" s="88" t="str">
        <f>MID($AD4,1,4)</f>
        <v>0000</v>
      </c>
      <c r="AR19" s="68"/>
      <c r="AS19" s="44"/>
      <c r="AT19" s="44"/>
      <c r="AU19" s="44"/>
      <c r="AV19" s="44"/>
      <c r="AW19" s="44"/>
      <c r="AX19" s="56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57"/>
    </row>
    <row r="20" spans="1:69" ht="14.5" customHeight="1" x14ac:dyDescent="0.3">
      <c r="A20" s="168" t="s">
        <v>1832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59" t="s">
        <v>1833</v>
      </c>
      <c r="AM20" s="175" t="s">
        <v>1831</v>
      </c>
      <c r="AN20" s="175"/>
      <c r="AO20" s="175"/>
      <c r="AP20" s="47" t="s">
        <v>1807</v>
      </c>
      <c r="AQ20" s="88" t="str">
        <f>MID($AE4,1,4)</f>
        <v>1111</v>
      </c>
      <c r="AR20" s="68"/>
      <c r="AS20" s="44"/>
      <c r="AT20" s="44"/>
      <c r="AU20" s="44"/>
      <c r="AV20" s="44"/>
      <c r="AW20" s="44"/>
      <c r="AX20" s="56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57"/>
    </row>
    <row r="21" spans="1:69" x14ac:dyDescent="0.3">
      <c r="A21" s="44" t="s">
        <v>193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59" t="s">
        <v>1834</v>
      </c>
      <c r="AM21" s="175" t="s">
        <v>1835</v>
      </c>
      <c r="AN21" s="175"/>
      <c r="AO21" s="175"/>
      <c r="AP21" s="47" t="s">
        <v>1807</v>
      </c>
      <c r="AQ21" s="88" t="str">
        <f>MID($AF4,1,4)</f>
        <v>1111</v>
      </c>
      <c r="AR21" s="68"/>
      <c r="AS21" s="44"/>
      <c r="AT21" s="44"/>
      <c r="AU21" s="44"/>
      <c r="AV21" s="44"/>
      <c r="AW21" s="44"/>
      <c r="AX21" s="56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57"/>
    </row>
    <row r="22" spans="1:69" x14ac:dyDescent="0.3">
      <c r="A22" s="44" t="s">
        <v>2022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59" t="s">
        <v>1836</v>
      </c>
      <c r="AM22" s="182" t="s">
        <v>1837</v>
      </c>
      <c r="AN22" s="183"/>
      <c r="AO22" s="184"/>
      <c r="AP22" s="47" t="s">
        <v>1807</v>
      </c>
      <c r="AQ22" s="88" t="str">
        <f>MID($AG4,1,4)</f>
        <v>0000</v>
      </c>
      <c r="AR22" s="68"/>
      <c r="AS22" s="44"/>
      <c r="AT22" s="44"/>
      <c r="AU22" s="44"/>
      <c r="AV22" s="44"/>
      <c r="AW22" s="44"/>
      <c r="AX22" s="56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57"/>
    </row>
    <row r="23" spans="1:69" x14ac:dyDescent="0.3">
      <c r="A23" s="44" t="s">
        <v>1838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59" t="s">
        <v>1839</v>
      </c>
      <c r="AM23" s="175" t="s">
        <v>1840</v>
      </c>
      <c r="AN23" s="175"/>
      <c r="AO23" s="175"/>
      <c r="AP23" s="47" t="s">
        <v>1807</v>
      </c>
      <c r="AQ23" s="88" t="str">
        <f>MID($AH4,1,4)</f>
        <v>0000</v>
      </c>
      <c r="AR23" s="68"/>
      <c r="AS23" s="44"/>
      <c r="AT23" s="44"/>
      <c r="AU23" s="44"/>
      <c r="AV23" s="44"/>
      <c r="AW23" s="44"/>
      <c r="AX23" s="56"/>
      <c r="AY23" s="55"/>
      <c r="AZ23" s="176" t="s">
        <v>75</v>
      </c>
      <c r="BA23" s="176"/>
      <c r="BB23" s="176"/>
      <c r="BC23" s="1" t="s">
        <v>19</v>
      </c>
      <c r="BD23" s="1" t="s">
        <v>2</v>
      </c>
      <c r="BE23" s="44"/>
      <c r="BF23" s="44"/>
      <c r="BG23" s="44"/>
      <c r="BH23" s="44"/>
      <c r="BI23" s="55"/>
      <c r="BJ23" s="176" t="s">
        <v>75</v>
      </c>
      <c r="BK23" s="176"/>
      <c r="BL23" s="176"/>
      <c r="BM23" s="1" t="s">
        <v>19</v>
      </c>
      <c r="BN23" s="1" t="s">
        <v>2</v>
      </c>
      <c r="BO23" s="44"/>
      <c r="BP23" s="44"/>
      <c r="BQ23" s="57"/>
    </row>
    <row r="24" spans="1:69" x14ac:dyDescent="0.3">
      <c r="A24" s="44" t="s">
        <v>2043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59" t="s">
        <v>1841</v>
      </c>
      <c r="AM24" s="175" t="s">
        <v>1842</v>
      </c>
      <c r="AN24" s="175"/>
      <c r="AO24" s="175"/>
      <c r="AP24" s="47" t="s">
        <v>92</v>
      </c>
      <c r="AQ24" s="88" t="str">
        <f>MID($S5,7,1)</f>
        <v>0</v>
      </c>
      <c r="AR24" s="68"/>
      <c r="AS24" s="44"/>
      <c r="AT24" s="44"/>
      <c r="AU24" s="44"/>
      <c r="AV24" s="44"/>
      <c r="AW24" s="44"/>
      <c r="AX24" s="56"/>
      <c r="AY24" s="2" t="s">
        <v>1812</v>
      </c>
      <c r="AZ24" s="177" t="s">
        <v>1813</v>
      </c>
      <c r="BA24" s="177"/>
      <c r="BB24" s="177"/>
      <c r="BC24" s="58" t="str">
        <f>AP16</f>
        <v>1111</v>
      </c>
      <c r="BD24" s="58" t="str">
        <f>AQ16</f>
        <v>0000</v>
      </c>
      <c r="BE24" s="44"/>
      <c r="BF24" s="44"/>
      <c r="BG24" s="44"/>
      <c r="BH24" s="44"/>
      <c r="BI24" s="2" t="s">
        <v>1843</v>
      </c>
      <c r="BJ24" s="177" t="s">
        <v>1844</v>
      </c>
      <c r="BK24" s="177"/>
      <c r="BL24" s="177"/>
      <c r="BM24" s="58" t="str">
        <f>AP32</f>
        <v>00000000</v>
      </c>
      <c r="BN24" s="58" t="str">
        <f>AQ32</f>
        <v>00000000</v>
      </c>
      <c r="BO24" s="44"/>
      <c r="BP24" s="44"/>
      <c r="BQ24" s="57"/>
    </row>
    <row r="25" spans="1:69" x14ac:dyDescent="0.3">
      <c r="A25" s="44" t="s">
        <v>2044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59" t="s">
        <v>1845</v>
      </c>
      <c r="AM25" s="175" t="s">
        <v>1846</v>
      </c>
      <c r="AN25" s="175"/>
      <c r="AO25" s="175"/>
      <c r="AP25" s="47" t="s">
        <v>92</v>
      </c>
      <c r="AQ25" s="88" t="str">
        <f>MID($V10,8,1)</f>
        <v>0</v>
      </c>
      <c r="AR25" s="68"/>
      <c r="AS25" s="44"/>
      <c r="AT25" s="44"/>
      <c r="AU25" s="44"/>
      <c r="AV25" s="44"/>
      <c r="AW25" s="44"/>
      <c r="AX25" s="56"/>
      <c r="AY25" s="55" t="s">
        <v>760</v>
      </c>
      <c r="AZ25" s="175" t="s">
        <v>1847</v>
      </c>
      <c r="BA25" s="175"/>
      <c r="BB25" s="175"/>
      <c r="BC25" s="47" t="str">
        <f>MID($BC24,1,1)</f>
        <v>1</v>
      </c>
      <c r="BD25" s="47" t="str">
        <f>MID($BD24,1,1)</f>
        <v>0</v>
      </c>
      <c r="BE25" s="44"/>
      <c r="BF25" s="44"/>
      <c r="BG25" s="44"/>
      <c r="BH25" s="44"/>
      <c r="BI25" s="55" t="s">
        <v>1848</v>
      </c>
      <c r="BJ25" s="175" t="s">
        <v>1849</v>
      </c>
      <c r="BK25" s="175"/>
      <c r="BL25" s="175"/>
      <c r="BM25" s="47" t="str">
        <f>MID($BM24,1,1)</f>
        <v>0</v>
      </c>
      <c r="BN25" s="47" t="str">
        <f>MID($BN24,1,1)</f>
        <v>0</v>
      </c>
      <c r="BO25" s="44"/>
      <c r="BP25" s="44"/>
      <c r="BQ25" s="57"/>
    </row>
    <row r="26" spans="1:69" x14ac:dyDescent="0.3">
      <c r="A26" s="44" t="s">
        <v>232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59" t="s">
        <v>1850</v>
      </c>
      <c r="AM26" s="175" t="s">
        <v>1851</v>
      </c>
      <c r="AN26" s="175"/>
      <c r="AO26" s="175"/>
      <c r="AP26" s="47" t="s">
        <v>1852</v>
      </c>
      <c r="AQ26" s="88" t="str">
        <f>MID($T5,1,8)</f>
        <v>00000000</v>
      </c>
      <c r="AR26" s="68"/>
      <c r="AS26" s="44"/>
      <c r="AT26" s="44"/>
      <c r="AU26" s="44"/>
      <c r="AV26" s="44"/>
      <c r="AW26" s="44"/>
      <c r="AX26" s="56"/>
      <c r="AY26" s="55" t="s">
        <v>764</v>
      </c>
      <c r="AZ26" s="175" t="s">
        <v>1853</v>
      </c>
      <c r="BA26" s="175"/>
      <c r="BB26" s="175"/>
      <c r="BC26" s="47" t="str">
        <f>MID($BC24,2,1)</f>
        <v>1</v>
      </c>
      <c r="BD26" s="47" t="str">
        <f>MID($BD24,3,1)</f>
        <v>0</v>
      </c>
      <c r="BE26" s="44"/>
      <c r="BF26" s="44"/>
      <c r="BG26" s="44"/>
      <c r="BH26" s="44"/>
      <c r="BI26" s="55" t="s">
        <v>1854</v>
      </c>
      <c r="BJ26" s="175" t="s">
        <v>1855</v>
      </c>
      <c r="BK26" s="175"/>
      <c r="BL26" s="175"/>
      <c r="BM26" s="47" t="str">
        <f>MID($BM24,2,1)</f>
        <v>0</v>
      </c>
      <c r="BN26" s="47" t="str">
        <f>MID($BN24,3,1)</f>
        <v>0</v>
      </c>
      <c r="BO26" s="44"/>
      <c r="BP26" s="44"/>
      <c r="BQ26" s="57"/>
    </row>
    <row r="27" spans="1:69" x14ac:dyDescent="0.3">
      <c r="A27" s="44" t="s">
        <v>535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59" t="s">
        <v>1856</v>
      </c>
      <c r="AM27" s="175" t="s">
        <v>1857</v>
      </c>
      <c r="AN27" s="175"/>
      <c r="AO27" s="175"/>
      <c r="AP27" s="47" t="s">
        <v>1802</v>
      </c>
      <c r="AQ27" s="88" t="str">
        <f>MID($U5,1,4)</f>
        <v>1111</v>
      </c>
      <c r="AR27" s="68"/>
      <c r="AS27" s="44"/>
      <c r="AT27" s="44"/>
      <c r="AU27" s="44"/>
      <c r="AV27" s="44"/>
      <c r="AW27" s="44"/>
      <c r="AX27" s="56"/>
      <c r="AY27" s="55" t="s">
        <v>768</v>
      </c>
      <c r="AZ27" s="175" t="s">
        <v>1858</v>
      </c>
      <c r="BA27" s="175"/>
      <c r="BB27" s="175"/>
      <c r="BC27" s="47" t="str">
        <f>MID($BC24,3,1)</f>
        <v>1</v>
      </c>
      <c r="BD27" s="47" t="str">
        <f>MID($BD24,3,1)</f>
        <v>0</v>
      </c>
      <c r="BE27" s="44"/>
      <c r="BF27" s="44"/>
      <c r="BG27" s="44"/>
      <c r="BH27" s="44"/>
      <c r="BI27" s="55" t="s">
        <v>1859</v>
      </c>
      <c r="BJ27" s="175" t="s">
        <v>1860</v>
      </c>
      <c r="BK27" s="175"/>
      <c r="BL27" s="175"/>
      <c r="BM27" s="47" t="str">
        <f>MID($BM24,3,1)</f>
        <v>0</v>
      </c>
      <c r="BN27" s="47" t="str">
        <f>MID($BN24,3,1)</f>
        <v>0</v>
      </c>
      <c r="BO27" s="44"/>
      <c r="BP27" s="44"/>
      <c r="BQ27" s="57"/>
    </row>
    <row r="28" spans="1:69" x14ac:dyDescent="0.3">
      <c r="A28" s="44" t="s">
        <v>541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59" t="s">
        <v>1861</v>
      </c>
      <c r="AM28" s="175" t="s">
        <v>1862</v>
      </c>
      <c r="AN28" s="175"/>
      <c r="AO28" s="175"/>
      <c r="AP28" s="47" t="s">
        <v>1802</v>
      </c>
      <c r="AQ28" s="88" t="str">
        <f>MID($V5,1,4)</f>
        <v>1111</v>
      </c>
      <c r="AR28" s="68"/>
      <c r="AS28" s="44"/>
      <c r="AT28" s="44"/>
      <c r="AU28" s="44"/>
      <c r="AV28" s="44"/>
      <c r="AW28" s="44"/>
      <c r="AX28" s="56"/>
      <c r="AY28" s="55" t="s">
        <v>772</v>
      </c>
      <c r="AZ28" s="175" t="s">
        <v>1863</v>
      </c>
      <c r="BA28" s="175"/>
      <c r="BB28" s="175"/>
      <c r="BC28" s="47" t="str">
        <f>MID($BC24,4,1)</f>
        <v>1</v>
      </c>
      <c r="BD28" s="47" t="str">
        <f>MID($BD24,4,1)</f>
        <v>0</v>
      </c>
      <c r="BE28" s="44"/>
      <c r="BF28" s="44"/>
      <c r="BG28" s="44"/>
      <c r="BH28" s="44"/>
      <c r="BI28" s="55" t="s">
        <v>1864</v>
      </c>
      <c r="BJ28" s="175" t="s">
        <v>1865</v>
      </c>
      <c r="BK28" s="175"/>
      <c r="BL28" s="175"/>
      <c r="BM28" s="47" t="str">
        <f>MID($BM24,4,1)</f>
        <v>0</v>
      </c>
      <c r="BN28" s="47" t="str">
        <f>MID($BN24,4,1)</f>
        <v>0</v>
      </c>
      <c r="BO28" s="44"/>
      <c r="BP28" s="44"/>
      <c r="BQ28" s="57"/>
    </row>
    <row r="29" spans="1:69" x14ac:dyDescent="0.3">
      <c r="A29" s="44" t="s">
        <v>548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59" t="s">
        <v>1766</v>
      </c>
      <c r="AM29" s="175" t="s">
        <v>1866</v>
      </c>
      <c r="AN29" s="175"/>
      <c r="AO29" s="175"/>
      <c r="AP29" s="47" t="s">
        <v>1802</v>
      </c>
      <c r="AQ29" s="88" t="str">
        <f>MID($W5,1,4)</f>
        <v>1111</v>
      </c>
      <c r="AR29" s="68"/>
      <c r="AS29" s="44"/>
      <c r="AT29" s="44"/>
      <c r="AU29" s="44"/>
      <c r="AV29" s="44"/>
      <c r="AW29" s="44"/>
      <c r="AX29" s="56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55" t="s">
        <v>1867</v>
      </c>
      <c r="BJ29" s="175" t="s">
        <v>1868</v>
      </c>
      <c r="BK29" s="175"/>
      <c r="BL29" s="175"/>
      <c r="BM29" s="47" t="str">
        <f>MID($BM24,5,1)</f>
        <v>0</v>
      </c>
      <c r="BN29" s="47" t="str">
        <f>MID($BN24,5,1)</f>
        <v>0</v>
      </c>
      <c r="BO29" s="44"/>
      <c r="BP29" s="44"/>
      <c r="BQ29" s="57"/>
    </row>
    <row r="30" spans="1:69" x14ac:dyDescent="0.3">
      <c r="A30" s="44" t="s">
        <v>555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59" t="s">
        <v>1805</v>
      </c>
      <c r="AM30" s="182" t="s">
        <v>1869</v>
      </c>
      <c r="AN30" s="183"/>
      <c r="AO30" s="184"/>
      <c r="AP30" s="47" t="s">
        <v>1807</v>
      </c>
      <c r="AQ30" s="88" t="str">
        <f>MID($X5,1,4)</f>
        <v>0000</v>
      </c>
      <c r="AR30" s="68"/>
      <c r="AS30" s="44"/>
      <c r="AT30" s="44"/>
      <c r="AU30" s="44"/>
      <c r="AV30" s="44"/>
      <c r="AW30" s="44"/>
      <c r="AX30" s="56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55" t="s">
        <v>1870</v>
      </c>
      <c r="BJ30" s="175" t="s">
        <v>1871</v>
      </c>
      <c r="BK30" s="175"/>
      <c r="BL30" s="175"/>
      <c r="BM30" s="47" t="str">
        <f>MID($BM24,6,1)</f>
        <v>0</v>
      </c>
      <c r="BN30" s="47" t="str">
        <f>MID($BN24,6,1)</f>
        <v>0</v>
      </c>
      <c r="BO30" s="44"/>
      <c r="BP30" s="44"/>
      <c r="BQ30" s="57"/>
    </row>
    <row r="31" spans="1:69" x14ac:dyDescent="0.3">
      <c r="A31" s="44" t="s">
        <v>252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59" t="s">
        <v>1872</v>
      </c>
      <c r="AM31" s="175" t="s">
        <v>1873</v>
      </c>
      <c r="AN31" s="175"/>
      <c r="AO31" s="175"/>
      <c r="AP31" s="47" t="s">
        <v>89</v>
      </c>
      <c r="AQ31" s="88" t="str">
        <f>MID($AC5,1,2)</f>
        <v>00</v>
      </c>
      <c r="AR31" s="68"/>
      <c r="AS31" s="44"/>
      <c r="AT31" s="44"/>
      <c r="AU31" s="44"/>
      <c r="AV31" s="44"/>
      <c r="AW31" s="44"/>
      <c r="AX31" s="56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55" t="s">
        <v>1874</v>
      </c>
      <c r="BJ31" s="175" t="s">
        <v>1875</v>
      </c>
      <c r="BK31" s="175"/>
      <c r="BL31" s="175"/>
      <c r="BM31" s="47" t="str">
        <f>MID($BM24,7,1)</f>
        <v>0</v>
      </c>
      <c r="BN31" s="47" t="str">
        <f>MID($BN24,7,1)</f>
        <v>0</v>
      </c>
      <c r="BO31" s="44"/>
      <c r="BP31" s="44"/>
      <c r="BQ31" s="57"/>
    </row>
    <row r="32" spans="1:69" x14ac:dyDescent="0.3">
      <c r="A32" s="44" t="s">
        <v>2045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59" t="s">
        <v>1843</v>
      </c>
      <c r="AM32" s="175" t="s">
        <v>1844</v>
      </c>
      <c r="AN32" s="175"/>
      <c r="AO32" s="175"/>
      <c r="AP32" s="47" t="s">
        <v>1852</v>
      </c>
      <c r="AQ32" s="88" t="str">
        <f>MID($AD5,1,8)</f>
        <v>00000000</v>
      </c>
      <c r="AR32" s="68"/>
      <c r="AS32" s="44"/>
      <c r="AT32" s="44"/>
      <c r="AU32" s="44"/>
      <c r="AV32" s="44"/>
      <c r="AW32" s="44"/>
      <c r="AX32" s="56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55" t="s">
        <v>1876</v>
      </c>
      <c r="BJ32" s="175" t="s">
        <v>1877</v>
      </c>
      <c r="BK32" s="175"/>
      <c r="BL32" s="175"/>
      <c r="BM32" s="47" t="str">
        <f>MID($BM24,8,1)</f>
        <v>0</v>
      </c>
      <c r="BN32" s="47" t="str">
        <f>MID($BN24,8,1)</f>
        <v>0</v>
      </c>
      <c r="BO32" s="44"/>
      <c r="BP32" s="44"/>
      <c r="BQ32" s="57"/>
    </row>
    <row r="33" spans="1:69" x14ac:dyDescent="0.3">
      <c r="A33" s="44" t="s">
        <v>259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59" t="s">
        <v>1878</v>
      </c>
      <c r="AM33" s="175" t="s">
        <v>1879</v>
      </c>
      <c r="AN33" s="175"/>
      <c r="AO33" s="175"/>
      <c r="AP33" s="47" t="s">
        <v>1852</v>
      </c>
      <c r="AQ33" s="88" t="str">
        <f>MID($AE5,1,8)</f>
        <v>00000000</v>
      </c>
      <c r="AR33" s="68"/>
      <c r="AS33" s="44"/>
      <c r="AT33" s="44"/>
      <c r="AU33" s="44"/>
      <c r="AV33" s="44"/>
      <c r="AW33" s="44"/>
      <c r="AX33" s="56"/>
      <c r="AY33" s="55"/>
      <c r="AZ33" s="176" t="s">
        <v>75</v>
      </c>
      <c r="BA33" s="176"/>
      <c r="BB33" s="176"/>
      <c r="BC33" s="1" t="s">
        <v>19</v>
      </c>
      <c r="BD33" s="1" t="s">
        <v>2</v>
      </c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57"/>
    </row>
    <row r="34" spans="1:69" x14ac:dyDescent="0.3">
      <c r="A34" s="44" t="s">
        <v>584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59" t="s">
        <v>1880</v>
      </c>
      <c r="AM34" s="175" t="s">
        <v>1881</v>
      </c>
      <c r="AN34" s="175"/>
      <c r="AO34" s="175"/>
      <c r="AP34" s="47" t="s">
        <v>1852</v>
      </c>
      <c r="AQ34" s="88" t="str">
        <f>MID($AF5,1,8)</f>
        <v>00000000</v>
      </c>
      <c r="AR34" s="68"/>
      <c r="AS34" s="44"/>
      <c r="AT34" s="44"/>
      <c r="AU34" s="44"/>
      <c r="AV34" s="44"/>
      <c r="AW34" s="44"/>
      <c r="AX34" s="56"/>
      <c r="AY34" s="2" t="s">
        <v>1818</v>
      </c>
      <c r="AZ34" s="177" t="s">
        <v>1882</v>
      </c>
      <c r="BA34" s="177"/>
      <c r="BB34" s="177"/>
      <c r="BC34" s="58" t="str">
        <f>AP17</f>
        <v>0000</v>
      </c>
      <c r="BD34" s="58" t="str">
        <f>AQ17</f>
        <v>1111</v>
      </c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57"/>
    </row>
    <row r="35" spans="1:69" x14ac:dyDescent="0.3">
      <c r="A35" s="44" t="s">
        <v>270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59"/>
      <c r="AM35" s="185" t="s">
        <v>1883</v>
      </c>
      <c r="AN35" s="185"/>
      <c r="AO35" s="185"/>
      <c r="AP35" s="47"/>
      <c r="AQ35" s="88"/>
      <c r="AR35" s="68"/>
      <c r="AS35" s="44"/>
      <c r="AT35" s="44"/>
      <c r="AU35" s="44"/>
      <c r="AV35" s="44"/>
      <c r="AW35" s="44"/>
      <c r="AX35" s="56"/>
      <c r="AY35" s="55" t="s">
        <v>792</v>
      </c>
      <c r="AZ35" s="175" t="s">
        <v>1884</v>
      </c>
      <c r="BA35" s="175"/>
      <c r="BB35" s="175"/>
      <c r="BC35" s="47" t="str">
        <f>MID($BC34,1,1)</f>
        <v>0</v>
      </c>
      <c r="BD35" s="47" t="str">
        <f>MID($BD34,1,1)</f>
        <v>1</v>
      </c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57"/>
    </row>
    <row r="36" spans="1:69" x14ac:dyDescent="0.3">
      <c r="A36" s="44" t="s">
        <v>276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59" t="s">
        <v>1885</v>
      </c>
      <c r="AM36" s="175" t="s">
        <v>1886</v>
      </c>
      <c r="AN36" s="175"/>
      <c r="AO36" s="175"/>
      <c r="AP36" s="47">
        <v>1</v>
      </c>
      <c r="AQ36" s="88" t="str">
        <f>MID($X12,1,1)</f>
        <v>1</v>
      </c>
      <c r="AR36" s="68"/>
      <c r="AS36" s="44"/>
      <c r="AT36" s="44"/>
      <c r="AU36" s="44"/>
      <c r="AV36" s="44"/>
      <c r="AW36" s="44"/>
      <c r="AX36" s="56"/>
      <c r="AY36" s="55" t="s">
        <v>796</v>
      </c>
      <c r="AZ36" s="175" t="s">
        <v>1887</v>
      </c>
      <c r="BA36" s="175"/>
      <c r="BB36" s="175"/>
      <c r="BC36" s="47" t="str">
        <f>MID($BC34,2,1)</f>
        <v>0</v>
      </c>
      <c r="BD36" s="47" t="str">
        <f>MID($BD34,3,1)</f>
        <v>1</v>
      </c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57"/>
    </row>
    <row r="37" spans="1:69" x14ac:dyDescent="0.3">
      <c r="A37" s="44" t="s">
        <v>2046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59" t="s">
        <v>1888</v>
      </c>
      <c r="AM37" s="175" t="s">
        <v>40</v>
      </c>
      <c r="AN37" s="175"/>
      <c r="AO37" s="175"/>
      <c r="AP37" s="47" t="s">
        <v>82</v>
      </c>
      <c r="AQ37" s="88" t="str">
        <f>MID($X12,8,1)</f>
        <v>0</v>
      </c>
      <c r="AR37" s="68"/>
      <c r="AS37" s="44"/>
      <c r="AT37" s="44"/>
      <c r="AU37" s="44"/>
      <c r="AV37" s="44"/>
      <c r="AW37" s="44"/>
      <c r="AX37" s="56"/>
      <c r="AY37" s="55" t="s">
        <v>800</v>
      </c>
      <c r="AZ37" s="175" t="s">
        <v>1889</v>
      </c>
      <c r="BA37" s="175"/>
      <c r="BB37" s="175"/>
      <c r="BC37" s="47" t="str">
        <f>MID($BC34,3,1)</f>
        <v>0</v>
      </c>
      <c r="BD37" s="47" t="str">
        <f>MID($BD34,3,1)</f>
        <v>1</v>
      </c>
      <c r="BE37" s="44"/>
      <c r="BF37" s="44"/>
      <c r="BG37" s="44"/>
      <c r="BH37" s="44"/>
      <c r="BI37" s="55"/>
      <c r="BJ37" s="176" t="s">
        <v>75</v>
      </c>
      <c r="BK37" s="176"/>
      <c r="BL37" s="176"/>
      <c r="BM37" s="1" t="s">
        <v>19</v>
      </c>
      <c r="BN37" s="1" t="s">
        <v>2</v>
      </c>
      <c r="BO37" s="44"/>
      <c r="BP37" s="44"/>
      <c r="BQ37" s="57"/>
    </row>
    <row r="38" spans="1:69" x14ac:dyDescent="0.3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59" t="s">
        <v>1890</v>
      </c>
      <c r="AM38" s="175" t="s">
        <v>1891</v>
      </c>
      <c r="AN38" s="175"/>
      <c r="AO38" s="175"/>
      <c r="AP38" s="47" t="s">
        <v>89</v>
      </c>
      <c r="AQ38" s="88" t="str">
        <f>MID($H12,1,2)</f>
        <v>00</v>
      </c>
      <c r="AR38" s="106" t="str">
        <f>IF(BIN2DEC(AQ38)&gt;0,"!!!!CRC ERROR!!!","link stable")</f>
        <v>link stable</v>
      </c>
      <c r="AS38" s="44"/>
      <c r="AT38" s="44"/>
      <c r="AU38" s="44"/>
      <c r="AV38" s="44"/>
      <c r="AW38" s="44"/>
      <c r="AX38" s="56"/>
      <c r="AY38" s="55" t="s">
        <v>804</v>
      </c>
      <c r="AZ38" s="175" t="s">
        <v>1892</v>
      </c>
      <c r="BA38" s="175"/>
      <c r="BB38" s="175"/>
      <c r="BC38" s="47" t="str">
        <f>MID($BC34,4,1)</f>
        <v>0</v>
      </c>
      <c r="BD38" s="47" t="str">
        <f>MID($BD34,4,1)</f>
        <v>1</v>
      </c>
      <c r="BE38" s="44"/>
      <c r="BF38" s="44"/>
      <c r="BG38" s="44"/>
      <c r="BH38" s="44"/>
      <c r="BI38" s="2" t="s">
        <v>1878</v>
      </c>
      <c r="BJ38" s="177" t="s">
        <v>1879</v>
      </c>
      <c r="BK38" s="177"/>
      <c r="BL38" s="177"/>
      <c r="BM38" s="58" t="str">
        <f>AP33</f>
        <v>00000000</v>
      </c>
      <c r="BN38" s="58" t="str">
        <f>AQ33</f>
        <v>00000000</v>
      </c>
      <c r="BO38" s="44"/>
      <c r="BP38" s="44"/>
      <c r="BQ38" s="57"/>
    </row>
    <row r="39" spans="1:69" x14ac:dyDescent="0.3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59" t="s">
        <v>88</v>
      </c>
      <c r="AM39" s="175" t="s">
        <v>1893</v>
      </c>
      <c r="AN39" s="175"/>
      <c r="AO39" s="175"/>
      <c r="AP39" s="47" t="s">
        <v>1894</v>
      </c>
      <c r="AQ39" s="88" t="str">
        <f>MID($I12,1,2)</f>
        <v>1c</v>
      </c>
      <c r="AR39" s="68"/>
      <c r="AS39" s="44"/>
      <c r="AT39" s="44"/>
      <c r="AU39" s="44"/>
      <c r="AV39" s="44"/>
      <c r="AW39" s="44"/>
      <c r="AX39" s="56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55" t="s">
        <v>1895</v>
      </c>
      <c r="BJ39" s="175" t="s">
        <v>1896</v>
      </c>
      <c r="BK39" s="175"/>
      <c r="BL39" s="175"/>
      <c r="BM39" s="47" t="str">
        <f>MID($BM38,1,1)</f>
        <v>0</v>
      </c>
      <c r="BN39" s="47" t="str">
        <f>MID($BN38,1,1)</f>
        <v>0</v>
      </c>
      <c r="BO39" s="44"/>
      <c r="BP39" s="44"/>
      <c r="BQ39" s="57"/>
    </row>
    <row r="40" spans="1:69" x14ac:dyDescent="0.3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59" t="s">
        <v>1897</v>
      </c>
      <c r="AM40" s="175" t="s">
        <v>1898</v>
      </c>
      <c r="AN40" s="175"/>
      <c r="AO40" s="175"/>
      <c r="AP40" s="47" t="s">
        <v>1807</v>
      </c>
      <c r="AQ40" s="88" t="str">
        <f>MID($AA12,1,4)</f>
        <v>0000</v>
      </c>
      <c r="AR40" s="68"/>
      <c r="AS40" s="44"/>
      <c r="AT40" s="44"/>
      <c r="AU40" s="44"/>
      <c r="AV40" s="44"/>
      <c r="AW40" s="44"/>
      <c r="AX40" s="56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55" t="s">
        <v>1899</v>
      </c>
      <c r="BJ40" s="175" t="s">
        <v>1900</v>
      </c>
      <c r="BK40" s="175"/>
      <c r="BL40" s="175"/>
      <c r="BM40" s="47" t="str">
        <f>MID($BM38,2,1)</f>
        <v>0</v>
      </c>
      <c r="BN40" s="47" t="str">
        <f>MID($BN38,3,1)</f>
        <v>0</v>
      </c>
      <c r="BO40" s="44"/>
      <c r="BP40" s="44"/>
      <c r="BQ40" s="57"/>
    </row>
    <row r="41" spans="1:69" x14ac:dyDescent="0.3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59" t="s">
        <v>1901</v>
      </c>
      <c r="AM41" s="175" t="s">
        <v>1902</v>
      </c>
      <c r="AN41" s="175"/>
      <c r="AO41" s="175"/>
      <c r="AP41" s="47" t="s">
        <v>1807</v>
      </c>
      <c r="AQ41" s="88" t="str">
        <f>MID($AA12,5,4)</f>
        <v>0000</v>
      </c>
      <c r="AR41" s="68"/>
      <c r="AS41" s="44"/>
      <c r="AT41" s="44"/>
      <c r="AU41" s="44"/>
      <c r="AV41" s="44"/>
      <c r="AW41" s="44"/>
      <c r="AX41" s="56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55" t="s">
        <v>1903</v>
      </c>
      <c r="BJ41" s="175" t="s">
        <v>1904</v>
      </c>
      <c r="BK41" s="175"/>
      <c r="BL41" s="175"/>
      <c r="BM41" s="47" t="str">
        <f>MID($BM38,3,1)</f>
        <v>0</v>
      </c>
      <c r="BN41" s="47" t="str">
        <f>MID($BN38,3,1)</f>
        <v>0</v>
      </c>
      <c r="BO41" s="44"/>
      <c r="BP41" s="44"/>
      <c r="BQ41" s="57"/>
    </row>
    <row r="42" spans="1:69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59" t="s">
        <v>1905</v>
      </c>
      <c r="AM42" s="175" t="s">
        <v>1906</v>
      </c>
      <c r="AN42" s="175"/>
      <c r="AO42" s="175"/>
      <c r="AP42" s="61" t="s">
        <v>1907</v>
      </c>
      <c r="AQ42" s="88" t="str">
        <f>MID($AB12,1,8)</f>
        <v>00011001</v>
      </c>
      <c r="AS42" s="44"/>
      <c r="AT42" s="44"/>
      <c r="AU42" s="44"/>
      <c r="AV42" s="44"/>
      <c r="AW42" s="44"/>
      <c r="AX42" s="56"/>
      <c r="AY42" s="55"/>
      <c r="AZ42" s="176" t="s">
        <v>75</v>
      </c>
      <c r="BA42" s="176"/>
      <c r="BB42" s="176"/>
      <c r="BC42" s="1" t="s">
        <v>19</v>
      </c>
      <c r="BD42" s="1" t="s">
        <v>2</v>
      </c>
      <c r="BE42" s="44"/>
      <c r="BF42" s="44"/>
      <c r="BG42" s="44"/>
      <c r="BH42" s="44"/>
      <c r="BI42" s="55" t="s">
        <v>1908</v>
      </c>
      <c r="BJ42" s="175" t="s">
        <v>1909</v>
      </c>
      <c r="BK42" s="175"/>
      <c r="BL42" s="175"/>
      <c r="BM42" s="47" t="str">
        <f>MID($BM38,4,1)</f>
        <v>0</v>
      </c>
      <c r="BN42" s="47" t="str">
        <f>MID($BN38,4,1)</f>
        <v>0</v>
      </c>
      <c r="BO42" s="44"/>
      <c r="BP42" s="44"/>
      <c r="BQ42" s="57"/>
    </row>
    <row r="43" spans="1:69" x14ac:dyDescent="0.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59" t="s">
        <v>1910</v>
      </c>
      <c r="AM43" s="175" t="s">
        <v>1911</v>
      </c>
      <c r="AN43" s="175"/>
      <c r="AO43" s="175"/>
      <c r="AP43" s="61" t="s">
        <v>552</v>
      </c>
      <c r="AQ43" s="88" t="str">
        <f>MID($AC12,1,8)</f>
        <v>00011001</v>
      </c>
      <c r="AR43" s="68"/>
      <c r="AS43" s="44"/>
      <c r="AT43" s="44"/>
      <c r="AU43" s="44"/>
      <c r="AV43" s="44"/>
      <c r="AW43" s="44"/>
      <c r="AX43" s="56"/>
      <c r="AY43" s="2" t="s">
        <v>1824</v>
      </c>
      <c r="AZ43" s="177" t="s">
        <v>1825</v>
      </c>
      <c r="BA43" s="177"/>
      <c r="BB43" s="177"/>
      <c r="BC43" s="58" t="str">
        <f>AP18</f>
        <v>0000</v>
      </c>
      <c r="BD43" s="58" t="str">
        <f>AQ18</f>
        <v>1111</v>
      </c>
      <c r="BE43" s="44"/>
      <c r="BF43" s="44"/>
      <c r="BG43" s="44"/>
      <c r="BH43" s="44"/>
      <c r="BI43" s="55" t="s">
        <v>1912</v>
      </c>
      <c r="BJ43" s="175" t="s">
        <v>1913</v>
      </c>
      <c r="BK43" s="175"/>
      <c r="BL43" s="175"/>
      <c r="BM43" s="47" t="str">
        <f>MID($BM38,5,1)</f>
        <v>0</v>
      </c>
      <c r="BN43" s="47" t="str">
        <f>MID($BN38,5,1)</f>
        <v>0</v>
      </c>
      <c r="BO43" s="44"/>
      <c r="BP43" s="44"/>
      <c r="BQ43" s="57"/>
    </row>
    <row r="44" spans="1:69" x14ac:dyDescent="0.3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59" t="s">
        <v>1914</v>
      </c>
      <c r="AM44" s="175" t="s">
        <v>1915</v>
      </c>
      <c r="AN44" s="175"/>
      <c r="AO44" s="175"/>
      <c r="AP44" s="61" t="s">
        <v>92</v>
      </c>
      <c r="AQ44" s="88" t="str">
        <f>MID($AD12,7,1)</f>
        <v>0</v>
      </c>
      <c r="AR44" s="68"/>
      <c r="AS44" s="44"/>
      <c r="AT44" s="44"/>
      <c r="AU44" s="44"/>
      <c r="AV44" s="44"/>
      <c r="AW44" s="44"/>
      <c r="AX44" s="56"/>
      <c r="AY44" s="55" t="s">
        <v>1916</v>
      </c>
      <c r="AZ44" s="175" t="s">
        <v>1917</v>
      </c>
      <c r="BA44" s="175"/>
      <c r="BB44" s="175"/>
      <c r="BC44" s="47" t="str">
        <f>MID($BC43,1,1)</f>
        <v>0</v>
      </c>
      <c r="BD44" s="47" t="str">
        <f>MID($BD43,1,1)</f>
        <v>1</v>
      </c>
      <c r="BE44" s="44"/>
      <c r="BF44" s="44"/>
      <c r="BG44" s="44"/>
      <c r="BH44" s="44"/>
      <c r="BI44" s="55" t="s">
        <v>1918</v>
      </c>
      <c r="BJ44" s="175" t="s">
        <v>1919</v>
      </c>
      <c r="BK44" s="175"/>
      <c r="BL44" s="175"/>
      <c r="BM44" s="47" t="str">
        <f>MID($BM38,6,1)</f>
        <v>0</v>
      </c>
      <c r="BN44" s="47" t="str">
        <f>MID($BN38,6,1)</f>
        <v>0</v>
      </c>
      <c r="BO44" s="44"/>
      <c r="BP44" s="44"/>
      <c r="BQ44" s="57"/>
    </row>
    <row r="45" spans="1:69" x14ac:dyDescent="0.3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59" t="s">
        <v>1920</v>
      </c>
      <c r="AM45" s="175" t="s">
        <v>1921</v>
      </c>
      <c r="AN45" s="175"/>
      <c r="AO45" s="175"/>
      <c r="AP45" s="47">
        <v>1</v>
      </c>
      <c r="AQ45" s="88" t="str">
        <f>MID($AD12,8,1)</f>
        <v>1</v>
      </c>
      <c r="AR45" s="68"/>
      <c r="AS45" s="44"/>
      <c r="AT45" s="44"/>
      <c r="AU45" s="44"/>
      <c r="AV45" s="44"/>
      <c r="AW45" s="44"/>
      <c r="AX45" s="56"/>
      <c r="AY45" s="55" t="s">
        <v>1922</v>
      </c>
      <c r="AZ45" s="175" t="s">
        <v>1923</v>
      </c>
      <c r="BA45" s="175"/>
      <c r="BB45" s="175"/>
      <c r="BC45" s="47" t="str">
        <f>MID($BC43,2,1)</f>
        <v>0</v>
      </c>
      <c r="BD45" s="47" t="str">
        <f>MID($BD43,3,1)</f>
        <v>1</v>
      </c>
      <c r="BE45" s="44"/>
      <c r="BF45" s="44"/>
      <c r="BG45" s="44"/>
      <c r="BH45" s="44"/>
      <c r="BI45" s="55" t="s">
        <v>1924</v>
      </c>
      <c r="BJ45" s="175" t="s">
        <v>1925</v>
      </c>
      <c r="BK45" s="175"/>
      <c r="BL45" s="175"/>
      <c r="BM45" s="47" t="str">
        <f>MID($BM38,7,1)</f>
        <v>0</v>
      </c>
      <c r="BN45" s="47" t="str">
        <f>MID($BN38,7,1)</f>
        <v>0</v>
      </c>
      <c r="BO45" s="44"/>
      <c r="BP45" s="44"/>
      <c r="BQ45" s="57"/>
    </row>
    <row r="46" spans="1:69" x14ac:dyDescent="0.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59"/>
      <c r="AM46" s="185" t="s">
        <v>1926</v>
      </c>
      <c r="AN46" s="185"/>
      <c r="AO46" s="185"/>
      <c r="AP46" s="47"/>
      <c r="AQ46" s="88"/>
      <c r="AR46" s="68"/>
      <c r="AS46" s="44"/>
      <c r="AT46" s="44"/>
      <c r="AU46" s="44"/>
      <c r="AV46" s="44"/>
      <c r="AW46" s="44"/>
      <c r="AX46" s="56"/>
      <c r="AY46" s="55" t="s">
        <v>1927</v>
      </c>
      <c r="AZ46" s="175" t="s">
        <v>1928</v>
      </c>
      <c r="BA46" s="175"/>
      <c r="BB46" s="175"/>
      <c r="BC46" s="47" t="str">
        <f>MID($BC43,3,1)</f>
        <v>0</v>
      </c>
      <c r="BD46" s="47" t="str">
        <f>MID($BD43,3,1)</f>
        <v>1</v>
      </c>
      <c r="BE46" s="44"/>
      <c r="BF46" s="44"/>
      <c r="BG46" s="44"/>
      <c r="BH46" s="44"/>
      <c r="BI46" s="55" t="s">
        <v>1929</v>
      </c>
      <c r="BJ46" s="175" t="s">
        <v>1930</v>
      </c>
      <c r="BK46" s="175"/>
      <c r="BL46" s="175"/>
      <c r="BM46" s="47" t="str">
        <f>MID($BM38,8,1)</f>
        <v>0</v>
      </c>
      <c r="BN46" s="47" t="str">
        <f>MID($BN38,8,1)</f>
        <v>0</v>
      </c>
      <c r="BO46" s="44"/>
      <c r="BP46" s="44"/>
      <c r="BQ46" s="57"/>
    </row>
    <row r="47" spans="1:69" x14ac:dyDescent="0.3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59" t="s">
        <v>335</v>
      </c>
      <c r="AM47" s="175" t="s">
        <v>1931</v>
      </c>
      <c r="AN47" s="175"/>
      <c r="AO47" s="175"/>
      <c r="AP47" s="149">
        <v>0</v>
      </c>
      <c r="AQ47" s="88" t="str">
        <f>MID($O17,1,2)</f>
        <v>00</v>
      </c>
      <c r="AR47" s="68"/>
      <c r="AS47" s="44"/>
      <c r="AT47" s="44"/>
      <c r="AU47" s="44"/>
      <c r="AV47" s="44"/>
      <c r="AW47" s="44"/>
      <c r="AX47" s="56"/>
      <c r="AY47" s="55" t="s">
        <v>1932</v>
      </c>
      <c r="AZ47" s="175" t="s">
        <v>1933</v>
      </c>
      <c r="BA47" s="175"/>
      <c r="BB47" s="175"/>
      <c r="BC47" s="47" t="str">
        <f>MID($BC43,4,1)</f>
        <v>0</v>
      </c>
      <c r="BD47" s="47" t="str">
        <f>MID($BD43,4,1)</f>
        <v>1</v>
      </c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57"/>
    </row>
    <row r="48" spans="1:69" x14ac:dyDescent="0.3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59" t="s">
        <v>339</v>
      </c>
      <c r="AM48" s="175" t="s">
        <v>340</v>
      </c>
      <c r="AN48" s="175"/>
      <c r="AO48" s="175"/>
      <c r="AP48" s="47" t="s">
        <v>1934</v>
      </c>
      <c r="AQ48" s="88" t="str">
        <f>MID($P17,1,2)</f>
        <v>02</v>
      </c>
      <c r="AR48" s="68"/>
      <c r="AS48" s="44"/>
      <c r="AT48" s="44"/>
      <c r="AU48" s="44"/>
      <c r="AV48" s="44"/>
      <c r="AW48" s="44"/>
      <c r="AX48" s="56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57"/>
    </row>
    <row r="49" spans="38:69" x14ac:dyDescent="0.3">
      <c r="AL49" s="59" t="s">
        <v>343</v>
      </c>
      <c r="AM49" s="175" t="s">
        <v>344</v>
      </c>
      <c r="AN49" s="175"/>
      <c r="AO49" s="175"/>
      <c r="AP49" s="47">
        <v>9</v>
      </c>
      <c r="AQ49" s="88" t="str">
        <f>MID($Q17,1,2)</f>
        <v>08</v>
      </c>
      <c r="AR49" s="68"/>
      <c r="AS49" s="44"/>
      <c r="AT49" s="44"/>
      <c r="AU49" s="44"/>
      <c r="AV49" s="44"/>
      <c r="AW49" s="44"/>
      <c r="AX49" s="56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57"/>
    </row>
    <row r="50" spans="38:69" x14ac:dyDescent="0.3"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56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57"/>
    </row>
    <row r="51" spans="38:69" x14ac:dyDescent="0.3"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56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55"/>
      <c r="BJ51" s="176" t="s">
        <v>75</v>
      </c>
      <c r="BK51" s="176"/>
      <c r="BL51" s="176"/>
      <c r="BM51" s="1" t="s">
        <v>19</v>
      </c>
      <c r="BN51" s="1" t="s">
        <v>2</v>
      </c>
      <c r="BO51" s="44"/>
      <c r="BP51" s="44"/>
      <c r="BQ51" s="57"/>
    </row>
    <row r="52" spans="38:69" x14ac:dyDescent="0.3"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56"/>
      <c r="AY52" s="55"/>
      <c r="AZ52" s="176" t="s">
        <v>75</v>
      </c>
      <c r="BA52" s="176"/>
      <c r="BB52" s="176"/>
      <c r="BC52" s="1" t="s">
        <v>19</v>
      </c>
      <c r="BD52" s="1" t="s">
        <v>2</v>
      </c>
      <c r="BE52" s="44"/>
      <c r="BF52" s="44"/>
      <c r="BG52" s="44"/>
      <c r="BH52" s="44"/>
      <c r="BI52" s="2" t="s">
        <v>1880</v>
      </c>
      <c r="BJ52" s="177" t="s">
        <v>1881</v>
      </c>
      <c r="BK52" s="177"/>
      <c r="BL52" s="177"/>
      <c r="BM52" s="58" t="str">
        <f>AP34</f>
        <v>00000000</v>
      </c>
      <c r="BN52" s="58" t="str">
        <f>AQ34</f>
        <v>00000000</v>
      </c>
      <c r="BO52" s="44"/>
      <c r="BP52" s="44"/>
      <c r="BQ52" s="57"/>
    </row>
    <row r="53" spans="38:69" x14ac:dyDescent="0.3"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56"/>
      <c r="AY53" s="2" t="s">
        <v>1830</v>
      </c>
      <c r="AZ53" s="177" t="s">
        <v>1831</v>
      </c>
      <c r="BA53" s="177"/>
      <c r="BB53" s="177"/>
      <c r="BC53" s="58" t="str">
        <f>AP19</f>
        <v>1111</v>
      </c>
      <c r="BD53" s="58" t="str">
        <f>AQ19</f>
        <v>0000</v>
      </c>
      <c r="BE53" s="44"/>
      <c r="BF53" s="44"/>
      <c r="BG53" s="44"/>
      <c r="BH53" s="44"/>
      <c r="BI53" s="55" t="s">
        <v>1935</v>
      </c>
      <c r="BJ53" s="175" t="s">
        <v>1936</v>
      </c>
      <c r="BK53" s="175"/>
      <c r="BL53" s="175"/>
      <c r="BM53" s="47" t="str">
        <f>MID($BM52,1,1)</f>
        <v>0</v>
      </c>
      <c r="BN53" s="47" t="str">
        <f>MID($BN52,1,1)</f>
        <v>0</v>
      </c>
      <c r="BO53" s="44"/>
      <c r="BP53" s="44"/>
      <c r="BQ53" s="57"/>
    </row>
    <row r="54" spans="38:69" x14ac:dyDescent="0.3"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56"/>
      <c r="AY54" s="55" t="s">
        <v>1937</v>
      </c>
      <c r="AZ54" s="175" t="s">
        <v>1938</v>
      </c>
      <c r="BA54" s="175"/>
      <c r="BB54" s="175"/>
      <c r="BC54" s="47" t="str">
        <f>MID($BC53,1,1)</f>
        <v>1</v>
      </c>
      <c r="BD54" s="47" t="str">
        <f>MID($BD53,1,1)</f>
        <v>0</v>
      </c>
      <c r="BE54" s="44"/>
      <c r="BF54" s="44"/>
      <c r="BG54" s="44"/>
      <c r="BH54" s="44"/>
      <c r="BI54" s="55" t="s">
        <v>1939</v>
      </c>
      <c r="BJ54" s="175" t="s">
        <v>1940</v>
      </c>
      <c r="BK54" s="175"/>
      <c r="BL54" s="175"/>
      <c r="BM54" s="47" t="str">
        <f>MID($BM52,2,1)</f>
        <v>0</v>
      </c>
      <c r="BN54" s="47" t="str">
        <f>MID($BN52,3,1)</f>
        <v>0</v>
      </c>
      <c r="BO54" s="44"/>
      <c r="BP54" s="44"/>
      <c r="BQ54" s="57"/>
    </row>
    <row r="55" spans="38:69" x14ac:dyDescent="0.3"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56"/>
      <c r="AY55" s="55" t="s">
        <v>1941</v>
      </c>
      <c r="AZ55" s="175" t="s">
        <v>1942</v>
      </c>
      <c r="BA55" s="175"/>
      <c r="BB55" s="175"/>
      <c r="BC55" s="47" t="str">
        <f>MID($BC53,2,1)</f>
        <v>1</v>
      </c>
      <c r="BD55" s="47" t="str">
        <f>MID($BD53,3,1)</f>
        <v>0</v>
      </c>
      <c r="BE55" s="44"/>
      <c r="BF55" s="44"/>
      <c r="BG55" s="44"/>
      <c r="BH55" s="44"/>
      <c r="BI55" s="55" t="s">
        <v>1943</v>
      </c>
      <c r="BJ55" s="175" t="s">
        <v>1944</v>
      </c>
      <c r="BK55" s="175"/>
      <c r="BL55" s="175"/>
      <c r="BM55" s="47" t="str">
        <f>MID($BM52,3,1)</f>
        <v>0</v>
      </c>
      <c r="BN55" s="47" t="str">
        <f>MID($BN52,3,1)</f>
        <v>0</v>
      </c>
      <c r="BO55" s="44"/>
      <c r="BP55" s="44"/>
      <c r="BQ55" s="57"/>
    </row>
    <row r="56" spans="38:69" x14ac:dyDescent="0.3"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56"/>
      <c r="AY56" s="55" t="s">
        <v>1945</v>
      </c>
      <c r="AZ56" s="175" t="s">
        <v>1946</v>
      </c>
      <c r="BA56" s="175"/>
      <c r="BB56" s="175"/>
      <c r="BC56" s="47" t="str">
        <f>MID($BC53,3,1)</f>
        <v>1</v>
      </c>
      <c r="BD56" s="47" t="str">
        <f>MID($BD53,3,1)</f>
        <v>0</v>
      </c>
      <c r="BE56" s="44"/>
      <c r="BF56" s="44"/>
      <c r="BG56" s="44"/>
      <c r="BH56" s="44"/>
      <c r="BI56" s="55" t="s">
        <v>1947</v>
      </c>
      <c r="BJ56" s="175" t="s">
        <v>1948</v>
      </c>
      <c r="BK56" s="175"/>
      <c r="BL56" s="175"/>
      <c r="BM56" s="47" t="str">
        <f>MID($BM52,4,1)</f>
        <v>0</v>
      </c>
      <c r="BN56" s="47" t="str">
        <f>MID($BN52,4,1)</f>
        <v>0</v>
      </c>
      <c r="BO56" s="44"/>
      <c r="BP56" s="44"/>
      <c r="BQ56" s="57"/>
    </row>
    <row r="57" spans="38:69" x14ac:dyDescent="0.3"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56"/>
      <c r="AY57" s="55" t="s">
        <v>1949</v>
      </c>
      <c r="AZ57" s="175" t="s">
        <v>1950</v>
      </c>
      <c r="BA57" s="175"/>
      <c r="BB57" s="175"/>
      <c r="BC57" s="47" t="str">
        <f>MID($BC53,4,1)</f>
        <v>1</v>
      </c>
      <c r="BD57" s="47" t="str">
        <f>MID($BD53,4,1)</f>
        <v>0</v>
      </c>
      <c r="BE57" s="44"/>
      <c r="BF57" s="44"/>
      <c r="BG57" s="44"/>
      <c r="BH57" s="44"/>
      <c r="BI57" s="55" t="s">
        <v>1951</v>
      </c>
      <c r="BJ57" s="175" t="s">
        <v>1952</v>
      </c>
      <c r="BK57" s="175"/>
      <c r="BL57" s="175"/>
      <c r="BM57" s="47" t="str">
        <f>MID($BM52,5,1)</f>
        <v>0</v>
      </c>
      <c r="BN57" s="47" t="str">
        <f>MID($BN52,5,1)</f>
        <v>0</v>
      </c>
      <c r="BO57" s="44"/>
      <c r="BP57" s="44"/>
      <c r="BQ57" s="57"/>
    </row>
    <row r="58" spans="38:69" x14ac:dyDescent="0.3"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56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55" t="s">
        <v>1953</v>
      </c>
      <c r="BJ58" s="175" t="s">
        <v>1954</v>
      </c>
      <c r="BK58" s="175"/>
      <c r="BL58" s="175"/>
      <c r="BM58" s="47" t="str">
        <f>MID($BM52,6,1)</f>
        <v>0</v>
      </c>
      <c r="BN58" s="47" t="str">
        <f>MID($BN52,6,1)</f>
        <v>0</v>
      </c>
      <c r="BO58" s="44"/>
      <c r="BP58" s="44"/>
      <c r="BQ58" s="57"/>
    </row>
    <row r="59" spans="38:69" x14ac:dyDescent="0.3"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56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55" t="s">
        <v>1955</v>
      </c>
      <c r="BJ59" s="175" t="s">
        <v>1956</v>
      </c>
      <c r="BK59" s="175"/>
      <c r="BL59" s="175"/>
      <c r="BM59" s="47" t="str">
        <f>MID($BM52,7,1)</f>
        <v>0</v>
      </c>
      <c r="BN59" s="47" t="str">
        <f>MID($BN52,7,1)</f>
        <v>0</v>
      </c>
      <c r="BO59" s="44"/>
      <c r="BP59" s="44"/>
      <c r="BQ59" s="57"/>
    </row>
    <row r="60" spans="38:69" x14ac:dyDescent="0.3"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56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55" t="s">
        <v>1957</v>
      </c>
      <c r="BJ60" s="175" t="s">
        <v>1958</v>
      </c>
      <c r="BK60" s="175"/>
      <c r="BL60" s="175"/>
      <c r="BM60" s="47" t="str">
        <f>MID($BM52,8,1)</f>
        <v>0</v>
      </c>
      <c r="BN60" s="47" t="str">
        <f>MID($BN52,8,1)</f>
        <v>0</v>
      </c>
      <c r="BO60" s="44"/>
      <c r="BP60" s="44"/>
      <c r="BQ60" s="57"/>
    </row>
    <row r="61" spans="38:69" x14ac:dyDescent="0.3"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56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57"/>
    </row>
    <row r="62" spans="38:69" x14ac:dyDescent="0.3"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56"/>
      <c r="AY62" s="55"/>
      <c r="AZ62" s="176" t="s">
        <v>75</v>
      </c>
      <c r="BA62" s="176"/>
      <c r="BB62" s="176"/>
      <c r="BC62" s="1" t="s">
        <v>19</v>
      </c>
      <c r="BD62" s="1" t="s">
        <v>2</v>
      </c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57"/>
    </row>
    <row r="63" spans="38:69" x14ac:dyDescent="0.3"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56"/>
      <c r="AY63" s="2" t="s">
        <v>1833</v>
      </c>
      <c r="AZ63" s="177" t="s">
        <v>1831</v>
      </c>
      <c r="BA63" s="177"/>
      <c r="BB63" s="177"/>
      <c r="BC63" s="58" t="str">
        <f>AP20</f>
        <v>0000</v>
      </c>
      <c r="BD63" s="58" t="str">
        <f>AQ20</f>
        <v>1111</v>
      </c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57"/>
    </row>
    <row r="64" spans="38:69" x14ac:dyDescent="0.3"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56"/>
      <c r="AY64" s="55" t="s">
        <v>1959</v>
      </c>
      <c r="AZ64" s="175" t="s">
        <v>1938</v>
      </c>
      <c r="BA64" s="175"/>
      <c r="BB64" s="175"/>
      <c r="BC64" s="47" t="str">
        <f>MID($BC63,1,1)</f>
        <v>0</v>
      </c>
      <c r="BD64" s="47" t="str">
        <f>MID($BD63,1,1)</f>
        <v>1</v>
      </c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57"/>
    </row>
    <row r="65" spans="50:69" x14ac:dyDescent="0.3">
      <c r="AX65" s="56"/>
      <c r="AY65" s="55" t="s">
        <v>1960</v>
      </c>
      <c r="AZ65" s="175" t="s">
        <v>1942</v>
      </c>
      <c r="BA65" s="175"/>
      <c r="BB65" s="175"/>
      <c r="BC65" s="47" t="str">
        <f>MID($BC63,2,1)</f>
        <v>0</v>
      </c>
      <c r="BD65" s="47" t="str">
        <f>MID($BD63,3,1)</f>
        <v>1</v>
      </c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57"/>
    </row>
    <row r="66" spans="50:69" x14ac:dyDescent="0.3">
      <c r="AX66" s="56"/>
      <c r="AY66" s="55" t="s">
        <v>1961</v>
      </c>
      <c r="AZ66" s="175" t="s">
        <v>1946</v>
      </c>
      <c r="BA66" s="175"/>
      <c r="BB66" s="175"/>
      <c r="BC66" s="47" t="str">
        <f>MID($BC63,3,1)</f>
        <v>0</v>
      </c>
      <c r="BD66" s="47" t="str">
        <f>MID($BD63,3,1)</f>
        <v>1</v>
      </c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57"/>
    </row>
    <row r="67" spans="50:69" x14ac:dyDescent="0.3">
      <c r="AX67" s="56"/>
      <c r="AY67" s="55" t="s">
        <v>1962</v>
      </c>
      <c r="AZ67" s="175" t="s">
        <v>1950</v>
      </c>
      <c r="BA67" s="175"/>
      <c r="BB67" s="175"/>
      <c r="BC67" s="47" t="str">
        <f>MID($BC63,4,1)</f>
        <v>0</v>
      </c>
      <c r="BD67" s="47" t="str">
        <f>MID($BD63,4,1)</f>
        <v>1</v>
      </c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57"/>
    </row>
    <row r="68" spans="50:69" x14ac:dyDescent="0.3">
      <c r="AX68" s="56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57"/>
    </row>
    <row r="69" spans="50:69" x14ac:dyDescent="0.3">
      <c r="AX69" s="56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57"/>
    </row>
    <row r="70" spans="50:69" x14ac:dyDescent="0.3">
      <c r="AX70" s="56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57"/>
    </row>
    <row r="71" spans="50:69" x14ac:dyDescent="0.3">
      <c r="AX71" s="56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57"/>
    </row>
    <row r="72" spans="50:69" x14ac:dyDescent="0.3">
      <c r="AX72" s="56"/>
      <c r="AY72" s="55"/>
      <c r="AZ72" s="176" t="s">
        <v>75</v>
      </c>
      <c r="BA72" s="176"/>
      <c r="BB72" s="176"/>
      <c r="BC72" s="1" t="s">
        <v>19</v>
      </c>
      <c r="BD72" s="1" t="s">
        <v>2</v>
      </c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57"/>
    </row>
    <row r="73" spans="50:69" x14ac:dyDescent="0.3">
      <c r="AX73" s="56"/>
      <c r="AY73" s="2" t="s">
        <v>1834</v>
      </c>
      <c r="AZ73" s="177" t="s">
        <v>1963</v>
      </c>
      <c r="BA73" s="177"/>
      <c r="BB73" s="177"/>
      <c r="BC73" s="58" t="str">
        <f>AP21</f>
        <v>0000</v>
      </c>
      <c r="BD73" s="58" t="str">
        <f>AQ21</f>
        <v>1111</v>
      </c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57"/>
    </row>
    <row r="74" spans="50:69" x14ac:dyDescent="0.3">
      <c r="AX74" s="56"/>
      <c r="AY74" s="55" t="s">
        <v>1964</v>
      </c>
      <c r="AZ74" s="175" t="s">
        <v>1965</v>
      </c>
      <c r="BA74" s="175"/>
      <c r="BB74" s="175"/>
      <c r="BC74" s="47" t="str">
        <f>MID($BC73,1,1)</f>
        <v>0</v>
      </c>
      <c r="BD74" s="47" t="str">
        <f>MID($BD73,1,1)</f>
        <v>1</v>
      </c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57"/>
    </row>
    <row r="75" spans="50:69" x14ac:dyDescent="0.3">
      <c r="AX75" s="56"/>
      <c r="AY75" s="55" t="s">
        <v>1966</v>
      </c>
      <c r="AZ75" s="175" t="s">
        <v>1967</v>
      </c>
      <c r="BA75" s="175"/>
      <c r="BB75" s="175"/>
      <c r="BC75" s="47" t="str">
        <f>MID($BC73,2,1)</f>
        <v>0</v>
      </c>
      <c r="BD75" s="47" t="str">
        <f>MID($BD73,3,1)</f>
        <v>1</v>
      </c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57"/>
    </row>
    <row r="76" spans="50:69" x14ac:dyDescent="0.3">
      <c r="AX76" s="56"/>
      <c r="AY76" s="55" t="s">
        <v>1968</v>
      </c>
      <c r="AZ76" s="175" t="s">
        <v>1969</v>
      </c>
      <c r="BA76" s="175"/>
      <c r="BB76" s="175"/>
      <c r="BC76" s="47" t="str">
        <f>MID($BC73,3,1)</f>
        <v>0</v>
      </c>
      <c r="BD76" s="47" t="str">
        <f>MID($BD73,3,1)</f>
        <v>1</v>
      </c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57"/>
    </row>
    <row r="77" spans="50:69" x14ac:dyDescent="0.3">
      <c r="AX77" s="56"/>
      <c r="AY77" s="55" t="s">
        <v>1970</v>
      </c>
      <c r="AZ77" s="175" t="s">
        <v>1971</v>
      </c>
      <c r="BA77" s="175"/>
      <c r="BB77" s="175"/>
      <c r="BC77" s="47" t="str">
        <f>MID($BC73,4,1)</f>
        <v>0</v>
      </c>
      <c r="BD77" s="47" t="str">
        <f>MID($BD73,4,1)</f>
        <v>1</v>
      </c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57"/>
    </row>
    <row r="78" spans="50:69" x14ac:dyDescent="0.3">
      <c r="AX78" s="56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57"/>
    </row>
    <row r="79" spans="50:69" x14ac:dyDescent="0.3">
      <c r="AX79" s="56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57"/>
    </row>
    <row r="80" spans="50:69" x14ac:dyDescent="0.3">
      <c r="AX80" s="56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57"/>
    </row>
    <row r="81" spans="50:69" x14ac:dyDescent="0.3">
      <c r="AX81" s="56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57"/>
    </row>
    <row r="82" spans="50:69" x14ac:dyDescent="0.3">
      <c r="AX82" s="56"/>
      <c r="AY82" s="55"/>
      <c r="AZ82" s="176" t="s">
        <v>75</v>
      </c>
      <c r="BA82" s="176"/>
      <c r="BB82" s="176"/>
      <c r="BC82" s="1" t="s">
        <v>19</v>
      </c>
      <c r="BD82" s="1" t="s">
        <v>2</v>
      </c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57"/>
    </row>
    <row r="83" spans="50:69" x14ac:dyDescent="0.3">
      <c r="AX83" s="56"/>
      <c r="AY83" s="2" t="s">
        <v>1836</v>
      </c>
      <c r="AZ83" s="177" t="s">
        <v>1837</v>
      </c>
      <c r="BA83" s="177"/>
      <c r="BB83" s="177"/>
      <c r="BC83" s="58" t="str">
        <f>AP22</f>
        <v>0000</v>
      </c>
      <c r="BD83" s="58" t="str">
        <f>AQ22</f>
        <v>0000</v>
      </c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57"/>
    </row>
    <row r="84" spans="50:69" x14ac:dyDescent="0.3">
      <c r="AX84" s="56"/>
      <c r="AY84" s="55" t="s">
        <v>1972</v>
      </c>
      <c r="AZ84" s="175" t="s">
        <v>1973</v>
      </c>
      <c r="BA84" s="175"/>
      <c r="BB84" s="175"/>
      <c r="BC84" s="47" t="str">
        <f>MID($BC83,1,1)</f>
        <v>0</v>
      </c>
      <c r="BD84" s="47" t="str">
        <f>MID($BD83,1,1)</f>
        <v>0</v>
      </c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57"/>
    </row>
    <row r="85" spans="50:69" x14ac:dyDescent="0.3">
      <c r="AX85" s="56"/>
      <c r="AY85" s="55" t="s">
        <v>1974</v>
      </c>
      <c r="AZ85" s="175" t="s">
        <v>1975</v>
      </c>
      <c r="BA85" s="175"/>
      <c r="BB85" s="175"/>
      <c r="BC85" s="47" t="str">
        <f>MID($BC83,2,1)</f>
        <v>0</v>
      </c>
      <c r="BD85" s="47" t="str">
        <f>MID($BD83,3,1)</f>
        <v>0</v>
      </c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57"/>
    </row>
    <row r="86" spans="50:69" x14ac:dyDescent="0.3">
      <c r="AX86" s="56"/>
      <c r="AY86" s="55" t="s">
        <v>1976</v>
      </c>
      <c r="AZ86" s="175" t="s">
        <v>1977</v>
      </c>
      <c r="BA86" s="175"/>
      <c r="BB86" s="175"/>
      <c r="BC86" s="47" t="str">
        <f>MID($BC83,3,1)</f>
        <v>0</v>
      </c>
      <c r="BD86" s="47" t="str">
        <f>MID($BD83,3,1)</f>
        <v>0</v>
      </c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57"/>
    </row>
    <row r="87" spans="50:69" x14ac:dyDescent="0.3">
      <c r="AX87" s="56"/>
      <c r="AY87" s="55" t="s">
        <v>1978</v>
      </c>
      <c r="AZ87" s="175" t="s">
        <v>1979</v>
      </c>
      <c r="BA87" s="175"/>
      <c r="BB87" s="175"/>
      <c r="BC87" s="47" t="str">
        <f>MID($BC83,4,1)</f>
        <v>0</v>
      </c>
      <c r="BD87" s="47" t="str">
        <f>MID($BD83,4,1)</f>
        <v>0</v>
      </c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57"/>
    </row>
    <row r="88" spans="50:69" x14ac:dyDescent="0.3">
      <c r="AX88" s="56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57"/>
    </row>
    <row r="89" spans="50:69" x14ac:dyDescent="0.3">
      <c r="AX89" s="56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57"/>
    </row>
    <row r="90" spans="50:69" x14ac:dyDescent="0.3">
      <c r="AX90" s="56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57"/>
    </row>
    <row r="91" spans="50:69" x14ac:dyDescent="0.3">
      <c r="AX91" s="56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57"/>
    </row>
    <row r="92" spans="50:69" x14ac:dyDescent="0.3">
      <c r="AX92" s="56"/>
      <c r="AY92" s="55"/>
      <c r="AZ92" s="176" t="s">
        <v>75</v>
      </c>
      <c r="BA92" s="176"/>
      <c r="BB92" s="176"/>
      <c r="BC92" s="1" t="s">
        <v>19</v>
      </c>
      <c r="BD92" s="1" t="s">
        <v>2</v>
      </c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57"/>
    </row>
    <row r="93" spans="50:69" x14ac:dyDescent="0.3">
      <c r="AX93" s="56"/>
      <c r="AY93" s="2" t="s">
        <v>1839</v>
      </c>
      <c r="AZ93" s="177" t="s">
        <v>1980</v>
      </c>
      <c r="BA93" s="177"/>
      <c r="BB93" s="177"/>
      <c r="BC93" s="58" t="str">
        <f>AP23</f>
        <v>0000</v>
      </c>
      <c r="BD93" s="58" t="str">
        <f>AQ23</f>
        <v>0000</v>
      </c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57"/>
    </row>
    <row r="94" spans="50:69" x14ac:dyDescent="0.3">
      <c r="AX94" s="56"/>
      <c r="AY94" s="55" t="s">
        <v>1981</v>
      </c>
      <c r="AZ94" s="175" t="s">
        <v>1982</v>
      </c>
      <c r="BA94" s="175"/>
      <c r="BB94" s="175"/>
      <c r="BC94" s="47" t="str">
        <f>MID($BC93,1,1)</f>
        <v>0</v>
      </c>
      <c r="BD94" s="47" t="str">
        <f>MID($BD93,1,1)</f>
        <v>0</v>
      </c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57"/>
    </row>
    <row r="95" spans="50:69" x14ac:dyDescent="0.3">
      <c r="AX95" s="56"/>
      <c r="AY95" s="55" t="s">
        <v>1983</v>
      </c>
      <c r="AZ95" s="175" t="s">
        <v>1984</v>
      </c>
      <c r="BA95" s="175"/>
      <c r="BB95" s="175"/>
      <c r="BC95" s="47" t="str">
        <f>MID($BC93,2,1)</f>
        <v>0</v>
      </c>
      <c r="BD95" s="47" t="str">
        <f>MID($BD93,3,1)</f>
        <v>0</v>
      </c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57"/>
    </row>
    <row r="96" spans="50:69" x14ac:dyDescent="0.3">
      <c r="AX96" s="56"/>
      <c r="AY96" s="55" t="s">
        <v>1985</v>
      </c>
      <c r="AZ96" s="175" t="s">
        <v>1986</v>
      </c>
      <c r="BA96" s="175"/>
      <c r="BB96" s="175"/>
      <c r="BC96" s="47" t="str">
        <f>MID($BC93,3,1)</f>
        <v>0</v>
      </c>
      <c r="BD96" s="47" t="str">
        <f>MID($BD93,3,1)</f>
        <v>0</v>
      </c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57"/>
    </row>
    <row r="97" spans="50:69" x14ac:dyDescent="0.3">
      <c r="AX97" s="56"/>
      <c r="AY97" s="55" t="s">
        <v>1987</v>
      </c>
      <c r="AZ97" s="175" t="s">
        <v>1988</v>
      </c>
      <c r="BA97" s="175"/>
      <c r="BB97" s="175"/>
      <c r="BC97" s="47" t="str">
        <f>MID($BC93,4,1)</f>
        <v>0</v>
      </c>
      <c r="BD97" s="47" t="str">
        <f>MID($BD93,4,1)</f>
        <v>0</v>
      </c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57"/>
    </row>
    <row r="98" spans="50:69" x14ac:dyDescent="0.3">
      <c r="AX98" s="56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57"/>
    </row>
    <row r="99" spans="50:69" x14ac:dyDescent="0.3">
      <c r="AX99" s="56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57"/>
    </row>
    <row r="100" spans="50:69" x14ac:dyDescent="0.3">
      <c r="AX100" s="56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57"/>
    </row>
    <row r="101" spans="50:69" x14ac:dyDescent="0.3">
      <c r="AX101" s="56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57"/>
    </row>
    <row r="102" spans="50:69" x14ac:dyDescent="0.3">
      <c r="AX102" s="56"/>
      <c r="AY102" s="55"/>
      <c r="AZ102" s="176" t="s">
        <v>75</v>
      </c>
      <c r="BA102" s="176"/>
      <c r="BB102" s="176"/>
      <c r="BC102" s="1" t="s">
        <v>19</v>
      </c>
      <c r="BD102" s="1" t="s">
        <v>2</v>
      </c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57"/>
    </row>
    <row r="103" spans="50:69" x14ac:dyDescent="0.3">
      <c r="AX103" s="56"/>
      <c r="AY103" s="2" t="s">
        <v>1850</v>
      </c>
      <c r="AZ103" s="177" t="s">
        <v>1851</v>
      </c>
      <c r="BA103" s="177"/>
      <c r="BB103" s="177"/>
      <c r="BC103" s="58" t="str">
        <f>AP26</f>
        <v>00000000</v>
      </c>
      <c r="BD103" s="58" t="str">
        <f>AQ26</f>
        <v>00000000</v>
      </c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57"/>
    </row>
    <row r="104" spans="50:69" x14ac:dyDescent="0.3">
      <c r="AX104" s="56"/>
      <c r="AY104" s="55" t="s">
        <v>1989</v>
      </c>
      <c r="AZ104" s="175" t="s">
        <v>1990</v>
      </c>
      <c r="BA104" s="175"/>
      <c r="BB104" s="175"/>
      <c r="BC104" s="47" t="str">
        <f>MID($BC103,1,1)</f>
        <v>0</v>
      </c>
      <c r="BD104" s="47" t="str">
        <f>MID($BD103,1,1)</f>
        <v>0</v>
      </c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57"/>
    </row>
    <row r="105" spans="50:69" x14ac:dyDescent="0.3">
      <c r="AX105" s="56"/>
      <c r="AY105" s="55" t="s">
        <v>1991</v>
      </c>
      <c r="AZ105" s="175" t="s">
        <v>1992</v>
      </c>
      <c r="BA105" s="175"/>
      <c r="BB105" s="175"/>
      <c r="BC105" s="47" t="str">
        <f>MID($BC103,2,1)</f>
        <v>0</v>
      </c>
      <c r="BD105" s="47" t="str">
        <f>MID($BD103,3,1)</f>
        <v>0</v>
      </c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57"/>
    </row>
    <row r="106" spans="50:69" x14ac:dyDescent="0.3">
      <c r="AX106" s="56"/>
      <c r="AY106" s="55" t="s">
        <v>1993</v>
      </c>
      <c r="AZ106" s="175" t="s">
        <v>1994</v>
      </c>
      <c r="BA106" s="175"/>
      <c r="BB106" s="175"/>
      <c r="BC106" s="47" t="str">
        <f>MID($BC103,3,1)</f>
        <v>0</v>
      </c>
      <c r="BD106" s="47" t="str">
        <f>MID($BD103,3,1)</f>
        <v>0</v>
      </c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57"/>
    </row>
    <row r="107" spans="50:69" x14ac:dyDescent="0.3">
      <c r="AX107" s="56"/>
      <c r="AY107" s="55" t="s">
        <v>1995</v>
      </c>
      <c r="AZ107" s="175" t="s">
        <v>1996</v>
      </c>
      <c r="BA107" s="175"/>
      <c r="BB107" s="175"/>
      <c r="BC107" s="47" t="str">
        <f>MID($BC103,4,1)</f>
        <v>0</v>
      </c>
      <c r="BD107" s="47" t="str">
        <f>MID($BD103,4,1)</f>
        <v>0</v>
      </c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57"/>
    </row>
    <row r="108" spans="50:69" x14ac:dyDescent="0.3">
      <c r="AX108" s="56"/>
      <c r="AY108" s="55" t="s">
        <v>1997</v>
      </c>
      <c r="AZ108" s="175" t="s">
        <v>1998</v>
      </c>
      <c r="BA108" s="175"/>
      <c r="BB108" s="175"/>
      <c r="BC108" s="47" t="str">
        <f>MID($BC103,5,1)</f>
        <v>0</v>
      </c>
      <c r="BD108" s="47" t="str">
        <f>MID($BD103,5,1)</f>
        <v>0</v>
      </c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57"/>
    </row>
    <row r="109" spans="50:69" x14ac:dyDescent="0.3">
      <c r="AX109" s="56"/>
      <c r="AY109" s="55" t="s">
        <v>1999</v>
      </c>
      <c r="AZ109" s="175" t="s">
        <v>2000</v>
      </c>
      <c r="BA109" s="175"/>
      <c r="BB109" s="175"/>
      <c r="BC109" s="47" t="str">
        <f>MID($BC103,6,1)</f>
        <v>0</v>
      </c>
      <c r="BD109" s="47" t="str">
        <f>MID($BD103,6,1)</f>
        <v>0</v>
      </c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57"/>
    </row>
    <row r="110" spans="50:69" x14ac:dyDescent="0.3">
      <c r="AX110" s="56"/>
      <c r="AY110" s="55" t="s">
        <v>2001</v>
      </c>
      <c r="AZ110" s="175" t="s">
        <v>2002</v>
      </c>
      <c r="BA110" s="175"/>
      <c r="BB110" s="175"/>
      <c r="BC110" s="47" t="str">
        <f>MID($BC103,7,1)</f>
        <v>0</v>
      </c>
      <c r="BD110" s="47" t="str">
        <f>MID($BD103,7,1)</f>
        <v>0</v>
      </c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57"/>
    </row>
    <row r="111" spans="50:69" x14ac:dyDescent="0.3">
      <c r="AX111" s="56"/>
      <c r="AY111" s="55" t="s">
        <v>2003</v>
      </c>
      <c r="AZ111" s="175" t="s">
        <v>2004</v>
      </c>
      <c r="BA111" s="175"/>
      <c r="BB111" s="175"/>
      <c r="BC111" s="47" t="str">
        <f>MID($BC103,8,1)</f>
        <v>0</v>
      </c>
      <c r="BD111" s="47" t="str">
        <f>MID($BD103,8,1)</f>
        <v>0</v>
      </c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57"/>
    </row>
    <row r="112" spans="50:69" x14ac:dyDescent="0.3">
      <c r="AX112" s="56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57"/>
    </row>
    <row r="113" spans="50:69" x14ac:dyDescent="0.3">
      <c r="AX113" s="56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57"/>
    </row>
    <row r="114" spans="50:69" x14ac:dyDescent="0.3">
      <c r="AX114" s="56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57"/>
    </row>
    <row r="115" spans="50:69" x14ac:dyDescent="0.3">
      <c r="AX115" s="56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57"/>
    </row>
    <row r="116" spans="50:69" x14ac:dyDescent="0.3">
      <c r="AX116" s="56"/>
      <c r="AY116" s="55"/>
      <c r="AZ116" s="176" t="s">
        <v>75</v>
      </c>
      <c r="BA116" s="176"/>
      <c r="BB116" s="176"/>
      <c r="BC116" s="1" t="s">
        <v>19</v>
      </c>
      <c r="BD116" s="1" t="s">
        <v>2</v>
      </c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57"/>
    </row>
    <row r="117" spans="50:69" x14ac:dyDescent="0.3">
      <c r="AX117" s="56"/>
      <c r="AY117" s="2" t="s">
        <v>1856</v>
      </c>
      <c r="AZ117" s="177" t="s">
        <v>2005</v>
      </c>
      <c r="BA117" s="177"/>
      <c r="BB117" s="177"/>
      <c r="BC117" s="58" t="str">
        <f>AP27</f>
        <v>1111</v>
      </c>
      <c r="BD117" s="58" t="str">
        <f>AQ27</f>
        <v>1111</v>
      </c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57"/>
    </row>
    <row r="118" spans="50:69" x14ac:dyDescent="0.3">
      <c r="AX118" s="56"/>
      <c r="AY118" s="55" t="s">
        <v>822</v>
      </c>
      <c r="AZ118" s="175" t="s">
        <v>2006</v>
      </c>
      <c r="BA118" s="175"/>
      <c r="BB118" s="175"/>
      <c r="BC118" s="47" t="str">
        <f>MID($BC117,1,1)</f>
        <v>1</v>
      </c>
      <c r="BD118" s="47" t="str">
        <f>MID($BD117,1,1)</f>
        <v>1</v>
      </c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57"/>
    </row>
    <row r="119" spans="50:69" x14ac:dyDescent="0.3">
      <c r="AX119" s="56"/>
      <c r="AY119" s="55" t="s">
        <v>826</v>
      </c>
      <c r="AZ119" s="175" t="s">
        <v>2007</v>
      </c>
      <c r="BA119" s="175"/>
      <c r="BB119" s="175"/>
      <c r="BC119" s="47" t="str">
        <f>MID($BC117,2,1)</f>
        <v>1</v>
      </c>
      <c r="BD119" s="47" t="str">
        <f>MID($BD117,3,1)</f>
        <v>1</v>
      </c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57"/>
    </row>
    <row r="120" spans="50:69" x14ac:dyDescent="0.3">
      <c r="AX120" s="56"/>
      <c r="AY120" s="55" t="s">
        <v>830</v>
      </c>
      <c r="AZ120" s="175" t="s">
        <v>2008</v>
      </c>
      <c r="BA120" s="175"/>
      <c r="BB120" s="175"/>
      <c r="BC120" s="47" t="str">
        <f>MID($BC117,3,1)</f>
        <v>1</v>
      </c>
      <c r="BD120" s="47" t="str">
        <f>MID($BD117,3,1)</f>
        <v>1</v>
      </c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57"/>
    </row>
    <row r="121" spans="50:69" x14ac:dyDescent="0.3">
      <c r="AX121" s="56"/>
      <c r="AY121" s="55" t="s">
        <v>834</v>
      </c>
      <c r="AZ121" s="175" t="s">
        <v>2009</v>
      </c>
      <c r="BA121" s="175"/>
      <c r="BB121" s="175"/>
      <c r="BC121" s="47" t="str">
        <f>MID($BC117,4,1)</f>
        <v>1</v>
      </c>
      <c r="BD121" s="47" t="str">
        <f>MID($BD117,4,1)</f>
        <v>1</v>
      </c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57"/>
    </row>
    <row r="122" spans="50:69" x14ac:dyDescent="0.3">
      <c r="AX122" s="56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57"/>
    </row>
    <row r="123" spans="50:69" x14ac:dyDescent="0.3">
      <c r="AX123" s="56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57"/>
    </row>
    <row r="124" spans="50:69" x14ac:dyDescent="0.3">
      <c r="AX124" s="56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57"/>
    </row>
    <row r="125" spans="50:69" x14ac:dyDescent="0.3">
      <c r="AX125" s="56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57"/>
    </row>
    <row r="126" spans="50:69" x14ac:dyDescent="0.3">
      <c r="AX126" s="56"/>
      <c r="AY126" s="55"/>
      <c r="AZ126" s="176" t="s">
        <v>75</v>
      </c>
      <c r="BA126" s="176"/>
      <c r="BB126" s="176"/>
      <c r="BC126" s="1" t="s">
        <v>19</v>
      </c>
      <c r="BD126" s="1" t="s">
        <v>2</v>
      </c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57"/>
    </row>
    <row r="127" spans="50:69" x14ac:dyDescent="0.3">
      <c r="AX127" s="56"/>
      <c r="AY127" s="2" t="s">
        <v>1861</v>
      </c>
      <c r="AZ127" s="177" t="s">
        <v>2010</v>
      </c>
      <c r="BA127" s="177"/>
      <c r="BB127" s="177"/>
      <c r="BC127" s="58" t="str">
        <f>AP28</f>
        <v>1111</v>
      </c>
      <c r="BD127" s="58" t="str">
        <f>AQ28</f>
        <v>1111</v>
      </c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57"/>
    </row>
    <row r="128" spans="50:69" x14ac:dyDescent="0.3">
      <c r="AX128" s="56"/>
      <c r="AY128" s="55" t="s">
        <v>2011</v>
      </c>
      <c r="AZ128" s="175" t="s">
        <v>2012</v>
      </c>
      <c r="BA128" s="175"/>
      <c r="BB128" s="175"/>
      <c r="BC128" s="47" t="str">
        <f>MID($BC127,1,1)</f>
        <v>1</v>
      </c>
      <c r="BD128" s="47" t="str">
        <f>MID($BD127,1,1)</f>
        <v>1</v>
      </c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57"/>
    </row>
    <row r="129" spans="50:69" x14ac:dyDescent="0.3">
      <c r="AX129" s="56"/>
      <c r="AY129" s="55" t="s">
        <v>2013</v>
      </c>
      <c r="AZ129" s="175" t="s">
        <v>2014</v>
      </c>
      <c r="BA129" s="175"/>
      <c r="BB129" s="175"/>
      <c r="BC129" s="47" t="str">
        <f>MID($BC127,2,1)</f>
        <v>1</v>
      </c>
      <c r="BD129" s="47" t="str">
        <f>MID($BD127,3,1)</f>
        <v>1</v>
      </c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57"/>
    </row>
    <row r="130" spans="50:69" x14ac:dyDescent="0.3">
      <c r="AX130" s="56"/>
      <c r="AY130" s="55" t="s">
        <v>2015</v>
      </c>
      <c r="AZ130" s="175" t="s">
        <v>2016</v>
      </c>
      <c r="BA130" s="175"/>
      <c r="BB130" s="175"/>
      <c r="BC130" s="47" t="str">
        <f>MID($BC127,3,1)</f>
        <v>1</v>
      </c>
      <c r="BD130" s="47" t="str">
        <f>MID($BD127,3,1)</f>
        <v>1</v>
      </c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57"/>
    </row>
    <row r="131" spans="50:69" x14ac:dyDescent="0.3">
      <c r="AX131" s="56"/>
      <c r="AY131" s="55" t="s">
        <v>2017</v>
      </c>
      <c r="AZ131" s="175" t="s">
        <v>2018</v>
      </c>
      <c r="BA131" s="175"/>
      <c r="BB131" s="175"/>
      <c r="BC131" s="47" t="str">
        <f>MID($BC127,4,1)</f>
        <v>1</v>
      </c>
      <c r="BD131" s="47" t="str">
        <f>MID($BD127,4,1)</f>
        <v>1</v>
      </c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57"/>
    </row>
    <row r="132" spans="50:69" x14ac:dyDescent="0.3">
      <c r="AX132" s="63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5"/>
    </row>
  </sheetData>
  <mergeCells count="173">
    <mergeCell ref="BJ58:BL58"/>
    <mergeCell ref="BJ59:BL59"/>
    <mergeCell ref="BJ60:BL60"/>
    <mergeCell ref="AX2:BQ2"/>
    <mergeCell ref="BJ53:BL53"/>
    <mergeCell ref="BJ54:BL54"/>
    <mergeCell ref="BJ55:BL55"/>
    <mergeCell ref="BJ56:BL56"/>
    <mergeCell ref="BJ57:BL57"/>
    <mergeCell ref="BJ44:BL44"/>
    <mergeCell ref="BJ45:BL45"/>
    <mergeCell ref="BJ46:BL46"/>
    <mergeCell ref="BJ51:BL51"/>
    <mergeCell ref="BJ52:BL52"/>
    <mergeCell ref="BJ39:BL39"/>
    <mergeCell ref="BJ40:BL40"/>
    <mergeCell ref="BJ41:BL41"/>
    <mergeCell ref="BJ42:BL42"/>
    <mergeCell ref="BJ43:BL43"/>
    <mergeCell ref="BJ30:BL30"/>
    <mergeCell ref="BJ31:BL31"/>
    <mergeCell ref="BJ32:BL32"/>
    <mergeCell ref="BJ37:BL37"/>
    <mergeCell ref="BJ38:BL38"/>
    <mergeCell ref="BJ25:BL25"/>
    <mergeCell ref="BJ26:BL26"/>
    <mergeCell ref="BJ27:BL27"/>
    <mergeCell ref="BJ28:BL28"/>
    <mergeCell ref="BJ29:BL29"/>
    <mergeCell ref="AZ130:BB130"/>
    <mergeCell ref="AZ131:BB131"/>
    <mergeCell ref="BJ3:BL3"/>
    <mergeCell ref="BJ4:BL4"/>
    <mergeCell ref="BJ5:BL5"/>
    <mergeCell ref="BJ6:BL6"/>
    <mergeCell ref="BJ7:BL7"/>
    <mergeCell ref="BJ8:BL8"/>
    <mergeCell ref="BJ13:BL13"/>
    <mergeCell ref="BJ14:BL14"/>
    <mergeCell ref="BJ15:BL15"/>
    <mergeCell ref="BJ16:BL16"/>
    <mergeCell ref="BJ17:BL17"/>
    <mergeCell ref="BJ18:BL18"/>
    <mergeCell ref="BJ23:BL23"/>
    <mergeCell ref="BJ24:BL24"/>
    <mergeCell ref="AZ126:BB126"/>
    <mergeCell ref="AZ127:BB127"/>
    <mergeCell ref="AZ128:BB128"/>
    <mergeCell ref="AZ129:BB129"/>
    <mergeCell ref="AZ13:BB13"/>
    <mergeCell ref="AZ14:BB14"/>
    <mergeCell ref="AZ15:BB15"/>
    <mergeCell ref="AZ25:BB25"/>
    <mergeCell ref="AZ26:BB26"/>
    <mergeCell ref="AZ27:BB27"/>
    <mergeCell ref="AZ28:BB28"/>
    <mergeCell ref="AZ38:BB38"/>
    <mergeCell ref="AZ52:BB52"/>
    <mergeCell ref="AZ53:BB53"/>
    <mergeCell ref="AZ64:BB64"/>
    <mergeCell ref="AZ117:BB117"/>
    <mergeCell ref="AZ118:BB118"/>
    <mergeCell ref="AZ119:BB119"/>
    <mergeCell ref="AZ120:BB120"/>
    <mergeCell ref="AZ121:BB121"/>
    <mergeCell ref="AZ116:BB116"/>
    <mergeCell ref="AZ103:BB103"/>
    <mergeCell ref="AZ104:BB104"/>
    <mergeCell ref="AZ105:BB105"/>
    <mergeCell ref="AZ110:BB110"/>
    <mergeCell ref="AZ111:BB111"/>
    <mergeCell ref="AZ106:BB106"/>
    <mergeCell ref="AZ108:BB108"/>
    <mergeCell ref="AZ109:BB109"/>
    <mergeCell ref="AZ102:BB102"/>
    <mergeCell ref="AZ96:BB96"/>
    <mergeCell ref="AZ97:BB97"/>
    <mergeCell ref="AZ92:BB92"/>
    <mergeCell ref="AZ93:BB93"/>
    <mergeCell ref="AZ94:BB94"/>
    <mergeCell ref="AZ95:BB95"/>
    <mergeCell ref="AZ85:BB85"/>
    <mergeCell ref="AZ86:BB86"/>
    <mergeCell ref="AZ87:BB87"/>
    <mergeCell ref="AZ75:BB75"/>
    <mergeCell ref="AZ76:BB76"/>
    <mergeCell ref="AZ77:BB77"/>
    <mergeCell ref="AZ82:BB82"/>
    <mergeCell ref="AZ83:BB83"/>
    <mergeCell ref="AZ107:BB107"/>
    <mergeCell ref="AZ74:BB74"/>
    <mergeCell ref="AZ62:BB62"/>
    <mergeCell ref="AZ63:BB63"/>
    <mergeCell ref="AZ65:BB65"/>
    <mergeCell ref="AZ66:BB66"/>
    <mergeCell ref="AZ67:BB67"/>
    <mergeCell ref="AZ56:BB56"/>
    <mergeCell ref="AZ57:BB57"/>
    <mergeCell ref="AZ84:BB84"/>
    <mergeCell ref="AZ24:BB24"/>
    <mergeCell ref="AZ23:BB23"/>
    <mergeCell ref="AM21:AO21"/>
    <mergeCell ref="AM35:AO35"/>
    <mergeCell ref="AM36:AO36"/>
    <mergeCell ref="AM44:AO44"/>
    <mergeCell ref="AM45:AO45"/>
    <mergeCell ref="AZ72:BB72"/>
    <mergeCell ref="AZ73:BB73"/>
    <mergeCell ref="AZ47:BB47"/>
    <mergeCell ref="AZ54:BB54"/>
    <mergeCell ref="AZ55:BB55"/>
    <mergeCell ref="AZ42:BB42"/>
    <mergeCell ref="AZ43:BB43"/>
    <mergeCell ref="AZ44:BB44"/>
    <mergeCell ref="AZ45:BB45"/>
    <mergeCell ref="AZ46:BB46"/>
    <mergeCell ref="AZ33:BB33"/>
    <mergeCell ref="AZ34:BB34"/>
    <mergeCell ref="AZ35:BB35"/>
    <mergeCell ref="AZ36:BB36"/>
    <mergeCell ref="AZ37:BB37"/>
    <mergeCell ref="AZ3:BB3"/>
    <mergeCell ref="AZ4:BB4"/>
    <mergeCell ref="AZ5:BB5"/>
    <mergeCell ref="AZ6:BB6"/>
    <mergeCell ref="AZ7:BB7"/>
    <mergeCell ref="AZ8:BB8"/>
    <mergeCell ref="AZ16:BB16"/>
    <mergeCell ref="AZ17:BB17"/>
    <mergeCell ref="AZ18:BB18"/>
    <mergeCell ref="AM3:AO3"/>
    <mergeCell ref="AM4:AO4"/>
    <mergeCell ref="AM5:AO5"/>
    <mergeCell ref="AM6:AO6"/>
    <mergeCell ref="AM13:AO13"/>
    <mergeCell ref="AM14:AO14"/>
    <mergeCell ref="AM15:AO15"/>
    <mergeCell ref="AM16:AO16"/>
    <mergeCell ref="AM43:AO43"/>
    <mergeCell ref="AM37:AO37"/>
    <mergeCell ref="AM38:AO38"/>
    <mergeCell ref="AM39:AO39"/>
    <mergeCell ref="AM40:AO40"/>
    <mergeCell ref="AM41:AO41"/>
    <mergeCell ref="AM42:AO42"/>
    <mergeCell ref="AM19:AO19"/>
    <mergeCell ref="AM20:AO20"/>
    <mergeCell ref="AM17:AO17"/>
    <mergeCell ref="AM18:AO18"/>
    <mergeCell ref="AM31:AO31"/>
    <mergeCell ref="AM32:AO32"/>
    <mergeCell ref="A20:M20"/>
    <mergeCell ref="AM49:AO49"/>
    <mergeCell ref="AM7:AO7"/>
    <mergeCell ref="AM8:AO8"/>
    <mergeCell ref="AM9:AO9"/>
    <mergeCell ref="AM10:AO10"/>
    <mergeCell ref="AM11:AO11"/>
    <mergeCell ref="AM12:AO12"/>
    <mergeCell ref="AM22:AO22"/>
    <mergeCell ref="AM23:AO23"/>
    <mergeCell ref="AM24:AO24"/>
    <mergeCell ref="AM25:AO25"/>
    <mergeCell ref="AM26:AO26"/>
    <mergeCell ref="AM27:AO27"/>
    <mergeCell ref="AM46:AO46"/>
    <mergeCell ref="AM47:AO47"/>
    <mergeCell ref="AM48:AO48"/>
    <mergeCell ref="AM33:AO33"/>
    <mergeCell ref="AM34:AO34"/>
    <mergeCell ref="AM28:AO28"/>
    <mergeCell ref="AM29:AO29"/>
    <mergeCell ref="AM30:AO30"/>
  </mergeCells>
  <phoneticPr fontId="4" type="noConversion"/>
  <conditionalFormatting sqref="AP5:AQ5">
    <cfRule type="uniqueValues" dxfId="147" priority="253"/>
  </conditionalFormatting>
  <conditionalFormatting sqref="AP6:AQ6">
    <cfRule type="uniqueValues" dxfId="146" priority="252"/>
  </conditionalFormatting>
  <conditionalFormatting sqref="AP7:AQ7">
    <cfRule type="uniqueValues" dxfId="145" priority="209"/>
  </conditionalFormatting>
  <conditionalFormatting sqref="AP8:AQ8">
    <cfRule type="uniqueValues" dxfId="144" priority="208"/>
  </conditionalFormatting>
  <conditionalFormatting sqref="AP9:AQ9">
    <cfRule type="uniqueValues" dxfId="143" priority="207"/>
  </conditionalFormatting>
  <conditionalFormatting sqref="AP10:AQ10">
    <cfRule type="uniqueValues" dxfId="142" priority="206"/>
  </conditionalFormatting>
  <conditionalFormatting sqref="AP11:AQ11">
    <cfRule type="uniqueValues" dxfId="141" priority="205"/>
  </conditionalFormatting>
  <conditionalFormatting sqref="AP12:AQ12">
    <cfRule type="uniqueValues" dxfId="140" priority="204"/>
  </conditionalFormatting>
  <conditionalFormatting sqref="AP14:AQ14">
    <cfRule type="uniqueValues" dxfId="139" priority="250"/>
  </conditionalFormatting>
  <conditionalFormatting sqref="AP15:AQ15">
    <cfRule type="uniqueValues" dxfId="138" priority="249"/>
  </conditionalFormatting>
  <conditionalFormatting sqref="AP16:AQ16">
    <cfRule type="uniqueValues" dxfId="137" priority="248"/>
  </conditionalFormatting>
  <conditionalFormatting sqref="AP17:AQ17">
    <cfRule type="uniqueValues" dxfId="136" priority="247"/>
  </conditionalFormatting>
  <conditionalFormatting sqref="AP18:AQ18">
    <cfRule type="uniqueValues" dxfId="135" priority="246"/>
  </conditionalFormatting>
  <conditionalFormatting sqref="AP19:AQ19">
    <cfRule type="uniqueValues" dxfId="134" priority="245"/>
  </conditionalFormatting>
  <conditionalFormatting sqref="AP20:AQ20">
    <cfRule type="uniqueValues" dxfId="133" priority="244"/>
  </conditionalFormatting>
  <conditionalFormatting sqref="AP21:AQ21 AP29:AQ29">
    <cfRule type="uniqueValues" dxfId="132" priority="440"/>
  </conditionalFormatting>
  <conditionalFormatting sqref="AP22:AQ22">
    <cfRule type="uniqueValues" dxfId="131" priority="203"/>
  </conditionalFormatting>
  <conditionalFormatting sqref="AP23:AQ23">
    <cfRule type="uniqueValues" dxfId="130" priority="202"/>
  </conditionalFormatting>
  <conditionalFormatting sqref="AP24:AQ24">
    <cfRule type="uniqueValues" dxfId="129" priority="201"/>
  </conditionalFormatting>
  <conditionalFormatting sqref="AP25:AQ25">
    <cfRule type="uniqueValues" dxfId="128" priority="200"/>
  </conditionalFormatting>
  <conditionalFormatting sqref="AP26:AQ26">
    <cfRule type="uniqueValues" dxfId="127" priority="199"/>
  </conditionalFormatting>
  <conditionalFormatting sqref="AP27:AQ27">
    <cfRule type="uniqueValues" dxfId="126" priority="198"/>
  </conditionalFormatting>
  <conditionalFormatting sqref="AP28:AQ28">
    <cfRule type="uniqueValues" dxfId="125" priority="197"/>
  </conditionalFormatting>
  <conditionalFormatting sqref="AP30:AQ30">
    <cfRule type="uniqueValues" dxfId="124" priority="196"/>
  </conditionalFormatting>
  <conditionalFormatting sqref="AP31:AQ31">
    <cfRule type="uniqueValues" dxfId="123" priority="195"/>
  </conditionalFormatting>
  <conditionalFormatting sqref="AP32:AQ32">
    <cfRule type="uniqueValues" dxfId="122" priority="194"/>
  </conditionalFormatting>
  <conditionalFormatting sqref="AP33:AQ33">
    <cfRule type="uniqueValues" dxfId="121" priority="193"/>
  </conditionalFormatting>
  <conditionalFormatting sqref="AP34:AQ34">
    <cfRule type="uniqueValues" dxfId="120" priority="192"/>
  </conditionalFormatting>
  <conditionalFormatting sqref="AP36:AQ36">
    <cfRule type="uniqueValues" dxfId="119" priority="242"/>
  </conditionalFormatting>
  <conditionalFormatting sqref="AP37:AQ37">
    <cfRule type="uniqueValues" dxfId="118" priority="241"/>
  </conditionalFormatting>
  <conditionalFormatting sqref="AP38:AQ38">
    <cfRule type="uniqueValues" dxfId="117" priority="189"/>
  </conditionalFormatting>
  <conditionalFormatting sqref="AP39:AQ39">
    <cfRule type="uniqueValues" dxfId="116" priority="240"/>
  </conditionalFormatting>
  <conditionalFormatting sqref="AP40:AQ40">
    <cfRule type="uniqueValues" dxfId="115" priority="239"/>
  </conditionalFormatting>
  <conditionalFormatting sqref="AP41:AQ41">
    <cfRule type="uniqueValues" dxfId="114" priority="188"/>
  </conditionalFormatting>
  <conditionalFormatting sqref="AP42:AQ42">
    <cfRule type="uniqueValues" dxfId="113" priority="238"/>
  </conditionalFormatting>
  <conditionalFormatting sqref="AP43:AQ43">
    <cfRule type="uniqueValues" dxfId="112" priority="237"/>
  </conditionalFormatting>
  <conditionalFormatting sqref="AP44:AQ44">
    <cfRule type="uniqueValues" dxfId="111" priority="236"/>
  </conditionalFormatting>
  <conditionalFormatting sqref="AP45:AQ45">
    <cfRule type="uniqueValues" dxfId="110" priority="235"/>
  </conditionalFormatting>
  <conditionalFormatting sqref="AP46:AQ46 AP35:AQ35 AP13:AQ13">
    <cfRule type="uniqueValues" dxfId="109" priority="251"/>
  </conditionalFormatting>
  <conditionalFormatting sqref="AP47:AQ47">
    <cfRule type="uniqueValues" dxfId="108" priority="215"/>
  </conditionalFormatting>
  <conditionalFormatting sqref="AP48:AQ48">
    <cfRule type="uniqueValues" dxfId="107" priority="214"/>
  </conditionalFormatting>
  <conditionalFormatting sqref="AP49:AQ49">
    <cfRule type="uniqueValues" dxfId="106" priority="213"/>
  </conditionalFormatting>
  <conditionalFormatting sqref="BC4:BD4">
    <cfRule type="uniqueValues" dxfId="105" priority="186"/>
  </conditionalFormatting>
  <conditionalFormatting sqref="BC5:BD5">
    <cfRule type="uniqueValues" dxfId="104" priority="184"/>
  </conditionalFormatting>
  <conditionalFormatting sqref="BC6:BD6">
    <cfRule type="uniqueValues" dxfId="103" priority="183"/>
  </conditionalFormatting>
  <conditionalFormatting sqref="BC7:BD7">
    <cfRule type="uniqueValues" dxfId="102" priority="110"/>
  </conditionalFormatting>
  <conditionalFormatting sqref="BC8:BD8">
    <cfRule type="uniqueValues" dxfId="101" priority="111"/>
  </conditionalFormatting>
  <conditionalFormatting sqref="BC14:BD14">
    <cfRule type="uniqueValues" dxfId="100" priority="109"/>
  </conditionalFormatting>
  <conditionalFormatting sqref="BC15:BD15">
    <cfRule type="uniqueValues" dxfId="99" priority="108"/>
  </conditionalFormatting>
  <conditionalFormatting sqref="BC16:BD16">
    <cfRule type="uniqueValues" dxfId="98" priority="107"/>
  </conditionalFormatting>
  <conditionalFormatting sqref="BC17:BD17">
    <cfRule type="uniqueValues" dxfId="97" priority="105"/>
  </conditionalFormatting>
  <conditionalFormatting sqref="BC18:BD18">
    <cfRule type="uniqueValues" dxfId="96" priority="106"/>
  </conditionalFormatting>
  <conditionalFormatting sqref="BC24:BD24">
    <cfRule type="uniqueValues" dxfId="95" priority="104"/>
  </conditionalFormatting>
  <conditionalFormatting sqref="BC25:BD25">
    <cfRule type="uniqueValues" dxfId="94" priority="103"/>
  </conditionalFormatting>
  <conditionalFormatting sqref="BC26:BD26">
    <cfRule type="uniqueValues" dxfId="93" priority="102"/>
  </conditionalFormatting>
  <conditionalFormatting sqref="BC27:BD27">
    <cfRule type="uniqueValues" dxfId="92" priority="100"/>
  </conditionalFormatting>
  <conditionalFormatting sqref="BC28:BD28">
    <cfRule type="uniqueValues" dxfId="91" priority="101"/>
  </conditionalFormatting>
  <conditionalFormatting sqref="BC34:BD34">
    <cfRule type="uniqueValues" dxfId="90" priority="99"/>
  </conditionalFormatting>
  <conditionalFormatting sqref="BC35:BD35">
    <cfRule type="uniqueValues" dxfId="89" priority="98"/>
  </conditionalFormatting>
  <conditionalFormatting sqref="BC36:BD36">
    <cfRule type="uniqueValues" dxfId="88" priority="97"/>
  </conditionalFormatting>
  <conditionalFormatting sqref="BC37:BD37">
    <cfRule type="uniqueValues" dxfId="87" priority="95"/>
  </conditionalFormatting>
  <conditionalFormatting sqref="BC38:BD38">
    <cfRule type="uniqueValues" dxfId="86" priority="96"/>
  </conditionalFormatting>
  <conditionalFormatting sqref="BC43:BD43">
    <cfRule type="uniqueValues" dxfId="85" priority="94"/>
  </conditionalFormatting>
  <conditionalFormatting sqref="BC44:BD44">
    <cfRule type="uniqueValues" dxfId="84" priority="93"/>
  </conditionalFormatting>
  <conditionalFormatting sqref="BC45:BD45">
    <cfRule type="uniqueValues" dxfId="83" priority="92"/>
  </conditionalFormatting>
  <conditionalFormatting sqref="BC46:BD46">
    <cfRule type="uniqueValues" dxfId="82" priority="90"/>
  </conditionalFormatting>
  <conditionalFormatting sqref="BC47:BD47">
    <cfRule type="uniqueValues" dxfId="81" priority="91"/>
  </conditionalFormatting>
  <conditionalFormatting sqref="BC53:BD53">
    <cfRule type="uniqueValues" dxfId="80" priority="89"/>
  </conditionalFormatting>
  <conditionalFormatting sqref="BC54:BD54">
    <cfRule type="uniqueValues" dxfId="79" priority="88"/>
  </conditionalFormatting>
  <conditionalFormatting sqref="BC55:BD55">
    <cfRule type="uniqueValues" dxfId="78" priority="87"/>
  </conditionalFormatting>
  <conditionalFormatting sqref="BC56:BD56">
    <cfRule type="uniqueValues" dxfId="77" priority="85"/>
  </conditionalFormatting>
  <conditionalFormatting sqref="BC57:BD57">
    <cfRule type="uniqueValues" dxfId="76" priority="86"/>
  </conditionalFormatting>
  <conditionalFormatting sqref="BC63:BD63">
    <cfRule type="uniqueValues" dxfId="75" priority="84"/>
  </conditionalFormatting>
  <conditionalFormatting sqref="BC64:BD64">
    <cfRule type="uniqueValues" dxfId="74" priority="83"/>
  </conditionalFormatting>
  <conditionalFormatting sqref="BC65:BD65">
    <cfRule type="uniqueValues" dxfId="73" priority="82"/>
  </conditionalFormatting>
  <conditionalFormatting sqref="BC66:BD66">
    <cfRule type="uniqueValues" dxfId="72" priority="80"/>
  </conditionalFormatting>
  <conditionalFormatting sqref="BC67:BD67">
    <cfRule type="uniqueValues" dxfId="71" priority="81"/>
  </conditionalFormatting>
  <conditionalFormatting sqref="BC73:BD73">
    <cfRule type="uniqueValues" dxfId="70" priority="79"/>
  </conditionalFormatting>
  <conditionalFormatting sqref="BC74:BD74">
    <cfRule type="uniqueValues" dxfId="69" priority="78"/>
  </conditionalFormatting>
  <conditionalFormatting sqref="BC75:BD75">
    <cfRule type="uniqueValues" dxfId="68" priority="77"/>
  </conditionalFormatting>
  <conditionalFormatting sqref="BC76:BD76">
    <cfRule type="uniqueValues" dxfId="67" priority="75"/>
  </conditionalFormatting>
  <conditionalFormatting sqref="BC77:BD77">
    <cfRule type="uniqueValues" dxfId="66" priority="76"/>
  </conditionalFormatting>
  <conditionalFormatting sqref="BC83:BD83">
    <cfRule type="uniqueValues" dxfId="65" priority="74"/>
  </conditionalFormatting>
  <conditionalFormatting sqref="BC84:BD84">
    <cfRule type="uniqueValues" dxfId="64" priority="73"/>
  </conditionalFormatting>
  <conditionalFormatting sqref="BC85:BD85">
    <cfRule type="uniqueValues" dxfId="63" priority="72"/>
  </conditionalFormatting>
  <conditionalFormatting sqref="BC86:BD86">
    <cfRule type="uniqueValues" dxfId="62" priority="70"/>
  </conditionalFormatting>
  <conditionalFormatting sqref="BC87:BD87">
    <cfRule type="uniqueValues" dxfId="61" priority="71"/>
  </conditionalFormatting>
  <conditionalFormatting sqref="BC93:BD93">
    <cfRule type="uniqueValues" dxfId="60" priority="69"/>
  </conditionalFormatting>
  <conditionalFormatting sqref="BC94:BD94">
    <cfRule type="uniqueValues" dxfId="59" priority="68"/>
  </conditionalFormatting>
  <conditionalFormatting sqref="BC95:BD95">
    <cfRule type="uniqueValues" dxfId="58" priority="67"/>
  </conditionalFormatting>
  <conditionalFormatting sqref="BC96:BD96">
    <cfRule type="uniqueValues" dxfId="57" priority="65"/>
  </conditionalFormatting>
  <conditionalFormatting sqref="BC97:BD97">
    <cfRule type="uniqueValues" dxfId="56" priority="66"/>
  </conditionalFormatting>
  <conditionalFormatting sqref="BC103:BD103">
    <cfRule type="uniqueValues" dxfId="55" priority="64"/>
  </conditionalFormatting>
  <conditionalFormatting sqref="BC104:BD104">
    <cfRule type="uniqueValues" dxfId="54" priority="63"/>
  </conditionalFormatting>
  <conditionalFormatting sqref="BC105:BD105">
    <cfRule type="uniqueValues" dxfId="53" priority="62"/>
  </conditionalFormatting>
  <conditionalFormatting sqref="BC106:BD106">
    <cfRule type="uniqueValues" dxfId="52" priority="60"/>
  </conditionalFormatting>
  <conditionalFormatting sqref="BC107:BD107">
    <cfRule type="uniqueValues" dxfId="51" priority="61"/>
  </conditionalFormatting>
  <conditionalFormatting sqref="BC108:BD108">
    <cfRule type="uniqueValues" dxfId="50" priority="53"/>
  </conditionalFormatting>
  <conditionalFormatting sqref="BC109:BD109">
    <cfRule type="uniqueValues" dxfId="49" priority="58"/>
  </conditionalFormatting>
  <conditionalFormatting sqref="BC110:BD110">
    <cfRule type="uniqueValues" dxfId="48" priority="57"/>
  </conditionalFormatting>
  <conditionalFormatting sqref="BC111:BD111">
    <cfRule type="uniqueValues" dxfId="47" priority="56"/>
  </conditionalFormatting>
  <conditionalFormatting sqref="BC117:BD117">
    <cfRule type="uniqueValues" dxfId="46" priority="47"/>
  </conditionalFormatting>
  <conditionalFormatting sqref="BC118:BD118">
    <cfRule type="uniqueValues" dxfId="45" priority="46"/>
  </conditionalFormatting>
  <conditionalFormatting sqref="BC119:BD119">
    <cfRule type="uniqueValues" dxfId="44" priority="45"/>
  </conditionalFormatting>
  <conditionalFormatting sqref="BC120:BD120">
    <cfRule type="uniqueValues" dxfId="43" priority="43"/>
  </conditionalFormatting>
  <conditionalFormatting sqref="BC121:BD121">
    <cfRule type="uniqueValues" dxfId="42" priority="44"/>
  </conditionalFormatting>
  <conditionalFormatting sqref="BC127:BD127">
    <cfRule type="uniqueValues" dxfId="41" priority="42"/>
  </conditionalFormatting>
  <conditionalFormatting sqref="BC128:BD128">
    <cfRule type="uniqueValues" dxfId="40" priority="41"/>
  </conditionalFormatting>
  <conditionalFormatting sqref="BC129:BD129">
    <cfRule type="uniqueValues" dxfId="39" priority="40"/>
  </conditionalFormatting>
  <conditionalFormatting sqref="BC130:BD130">
    <cfRule type="uniqueValues" dxfId="38" priority="38"/>
  </conditionalFormatting>
  <conditionalFormatting sqref="BC131:BD131">
    <cfRule type="uniqueValues" dxfId="37" priority="39"/>
  </conditionalFormatting>
  <conditionalFormatting sqref="BM4:BN4">
    <cfRule type="uniqueValues" dxfId="36" priority="37"/>
  </conditionalFormatting>
  <conditionalFormatting sqref="BM5:BN5">
    <cfRule type="uniqueValues" dxfId="35" priority="36"/>
  </conditionalFormatting>
  <conditionalFormatting sqref="BM6:BN6">
    <cfRule type="uniqueValues" dxfId="34" priority="35"/>
  </conditionalFormatting>
  <conditionalFormatting sqref="BM7:BN7">
    <cfRule type="uniqueValues" dxfId="33" priority="33"/>
  </conditionalFormatting>
  <conditionalFormatting sqref="BM8:BN8">
    <cfRule type="uniqueValues" dxfId="32" priority="34"/>
  </conditionalFormatting>
  <conditionalFormatting sqref="BM14:BN14">
    <cfRule type="uniqueValues" dxfId="31" priority="32"/>
  </conditionalFormatting>
  <conditionalFormatting sqref="BM15:BN15">
    <cfRule type="uniqueValues" dxfId="30" priority="31"/>
  </conditionalFormatting>
  <conditionalFormatting sqref="BM16:BN16">
    <cfRule type="uniqueValues" dxfId="29" priority="30"/>
  </conditionalFormatting>
  <conditionalFormatting sqref="BM17:BN17">
    <cfRule type="uniqueValues" dxfId="28" priority="28"/>
  </conditionalFormatting>
  <conditionalFormatting sqref="BM18:BN18">
    <cfRule type="uniqueValues" dxfId="27" priority="29"/>
  </conditionalFormatting>
  <conditionalFormatting sqref="BM24:BN24">
    <cfRule type="uniqueValues" dxfId="26" priority="27"/>
  </conditionalFormatting>
  <conditionalFormatting sqref="BM25:BN25">
    <cfRule type="uniqueValues" dxfId="25" priority="26"/>
  </conditionalFormatting>
  <conditionalFormatting sqref="BM26:BN26">
    <cfRule type="uniqueValues" dxfId="24" priority="25"/>
  </conditionalFormatting>
  <conditionalFormatting sqref="BM27:BN27">
    <cfRule type="uniqueValues" dxfId="23" priority="23"/>
  </conditionalFormatting>
  <conditionalFormatting sqref="BM28:BN28">
    <cfRule type="uniqueValues" dxfId="22" priority="24"/>
  </conditionalFormatting>
  <conditionalFormatting sqref="BM29:BN29">
    <cfRule type="uniqueValues" dxfId="21" priority="19"/>
  </conditionalFormatting>
  <conditionalFormatting sqref="BM30:BN30">
    <cfRule type="uniqueValues" dxfId="20" priority="22"/>
  </conditionalFormatting>
  <conditionalFormatting sqref="BM31:BN31">
    <cfRule type="uniqueValues" dxfId="19" priority="21"/>
  </conditionalFormatting>
  <conditionalFormatting sqref="BM32:BN32">
    <cfRule type="uniqueValues" dxfId="18" priority="20"/>
  </conditionalFormatting>
  <conditionalFormatting sqref="BM38:BN38">
    <cfRule type="uniqueValues" dxfId="17" priority="18"/>
  </conditionalFormatting>
  <conditionalFormatting sqref="BM39:BN39">
    <cfRule type="uniqueValues" dxfId="16" priority="17"/>
  </conditionalFormatting>
  <conditionalFormatting sqref="BM40:BN40">
    <cfRule type="uniqueValues" dxfId="15" priority="16"/>
  </conditionalFormatting>
  <conditionalFormatting sqref="BM41:BN41">
    <cfRule type="uniqueValues" dxfId="14" priority="14"/>
  </conditionalFormatting>
  <conditionalFormatting sqref="BM42:BN42">
    <cfRule type="uniqueValues" dxfId="13" priority="15"/>
  </conditionalFormatting>
  <conditionalFormatting sqref="BM43:BN43">
    <cfRule type="uniqueValues" dxfId="12" priority="10"/>
  </conditionalFormatting>
  <conditionalFormatting sqref="BM44:BN44">
    <cfRule type="uniqueValues" dxfId="11" priority="13"/>
  </conditionalFormatting>
  <conditionalFormatting sqref="BM45:BN45">
    <cfRule type="uniqueValues" dxfId="10" priority="12"/>
  </conditionalFormatting>
  <conditionalFormatting sqref="BM46:BN46">
    <cfRule type="uniqueValues" dxfId="9" priority="11"/>
  </conditionalFormatting>
  <conditionalFormatting sqref="BM52:BN52">
    <cfRule type="uniqueValues" dxfId="8" priority="9"/>
  </conditionalFormatting>
  <conditionalFormatting sqref="BM53:BN53">
    <cfRule type="uniqueValues" dxfId="7" priority="8"/>
  </conditionalFormatting>
  <conditionalFormatting sqref="BM54:BN54">
    <cfRule type="uniqueValues" dxfId="6" priority="7"/>
  </conditionalFormatting>
  <conditionalFormatting sqref="BM55:BN55">
    <cfRule type="uniqueValues" dxfId="5" priority="5"/>
  </conditionalFormatting>
  <conditionalFormatting sqref="BM56:BN56">
    <cfRule type="uniqueValues" dxfId="4" priority="6"/>
  </conditionalFormatting>
  <conditionalFormatting sqref="BM57:BN57">
    <cfRule type="uniqueValues" dxfId="3" priority="1"/>
  </conditionalFormatting>
  <conditionalFormatting sqref="BM58:BN58">
    <cfRule type="uniqueValues" dxfId="2" priority="4"/>
  </conditionalFormatting>
  <conditionalFormatting sqref="BM59:BN59">
    <cfRule type="uniqueValues" dxfId="1" priority="3"/>
  </conditionalFormatting>
  <conditionalFormatting sqref="BM60:BN60">
    <cfRule type="uniqueValues" dxfId="0" priority="2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45B87DCFAA6949ADF5FA7D320B3C2A" ma:contentTypeVersion="14" ma:contentTypeDescription="Create a new document." ma:contentTypeScope="" ma:versionID="cdf8fa07c35fbfea705ef12a548265a4">
  <xsd:schema xmlns:xsd="http://www.w3.org/2001/XMLSchema" xmlns:xs="http://www.w3.org/2001/XMLSchema" xmlns:p="http://schemas.microsoft.com/office/2006/metadata/properties" xmlns:ns2="ef5e11c2-b5ac-4666-8d00-3459fd1c379e" xmlns:ns3="9bcaaf7c-080f-42ac-930b-884bf9d65b76" targetNamespace="http://schemas.microsoft.com/office/2006/metadata/properties" ma:root="true" ma:fieldsID="05d548fd969af614e5ceeb74b0549f68" ns2:_="" ns3:_="">
    <xsd:import namespace="ef5e11c2-b5ac-4666-8d00-3459fd1c379e"/>
    <xsd:import namespace="9bcaaf7c-080f-42ac-930b-884bf9d65b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HM11_x6a94__x6848__x593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e11c2-b5ac-4666-8d00-3459fd1c3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HM11_x6a94__x6848__x593e_" ma:index="21" nillable="true" ma:displayName="HM11檔案夾" ma:format="Dropdown" ma:internalName="HM11_x6a94__x6848__x593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aaf7c-080f-42ac-930b-884bf9d65b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181393e-be5c-4c43-b4c5-d71fc615b94f}" ma:internalName="TaxCatchAll" ma:showField="CatchAllData" ma:web="9bcaaf7c-080f-42ac-930b-884bf9d65b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e11c2-b5ac-4666-8d00-3459fd1c379e">
      <Terms xmlns="http://schemas.microsoft.com/office/infopath/2007/PartnerControls"/>
    </lcf76f155ced4ddcb4097134ff3c332f>
    <TaxCatchAll xmlns="9bcaaf7c-080f-42ac-930b-884bf9d65b76" xsi:nil="true"/>
    <HM11_x6a94__x6848__x593e_ xmlns="ef5e11c2-b5ac-4666-8d00-3459fd1c379e" xsi:nil="true"/>
  </documentManagement>
</p:properties>
</file>

<file path=customXml/itemProps1.xml><?xml version="1.0" encoding="utf-8"?>
<ds:datastoreItem xmlns:ds="http://schemas.openxmlformats.org/officeDocument/2006/customXml" ds:itemID="{39ED9D12-89E0-4ACD-8A18-2C0C19F99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e11c2-b5ac-4666-8d00-3459fd1c379e"/>
    <ds:schemaRef ds:uri="9bcaaf7c-080f-42ac-930b-884bf9d65b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E4E4F8-898A-44F1-892C-B051784FA1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BFF492-B945-4785-96A7-C4D6FB0F2087}">
  <ds:schemaRefs>
    <ds:schemaRef ds:uri="http://schemas.microsoft.com/office/2006/metadata/properties"/>
    <ds:schemaRef ds:uri="http://schemas.microsoft.com/office/infopath/2007/PartnerControls"/>
    <ds:schemaRef ds:uri="ef5e11c2-b5ac-4666-8d00-3459fd1c379e"/>
    <ds:schemaRef ds:uri="9bcaaf7c-080f-42ac-930b-884bf9d65b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Overall analysis</vt:lpstr>
      <vt:lpstr>GLB reg</vt:lpstr>
      <vt:lpstr>SCM reg</vt:lpstr>
      <vt:lpstr>CPLD1 reg</vt:lpstr>
      <vt:lpstr>CPLD2 reg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Phoebe Huang27</dc:creator>
  <cp:keywords/>
  <dc:description/>
  <cp:lastModifiedBy>John Lin94</cp:lastModifiedBy>
  <cp:revision/>
  <dcterms:created xsi:type="dcterms:W3CDTF">2015-06-05T18:17:20Z</dcterms:created>
  <dcterms:modified xsi:type="dcterms:W3CDTF">2026-05-19T08:20:26Z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0x0101001045B87DCFAA6949ADF5FA7D320B3C2A</vt:lpwstr>
  </property>
  <property fmtid="{D5CDD505-2E9C-101B-9397-08002B2CF9AE}" pid="3" name="MediaServiceImageTags">
    <vt:lpwstr/>
  </property>
</Properties>
</file>